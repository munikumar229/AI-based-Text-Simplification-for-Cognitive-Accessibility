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ries" sheetId="1" r:id="rId4"/>
    <sheet state="visible" name="Initial Selection" sheetId="2" r:id="rId5"/>
    <sheet state="visible" name="First Screening" sheetId="3" r:id="rId6"/>
    <sheet state="visible" name="Sorting of Papers" sheetId="4" r:id="rId7"/>
    <sheet state="visible" name="Final_23" sheetId="5" r:id="rId8"/>
    <sheet state="visible" name="Year of Publication" sheetId="6" r:id="rId9"/>
  </sheets>
  <definedNames>
    <definedName hidden="1" localSheetId="1" name="_xlnm._FilterDatabase">'Initial Selection'!$E$1:$E$997</definedName>
  </definedNames>
  <calcPr/>
</workbook>
</file>

<file path=xl/sharedStrings.xml><?xml version="1.0" encoding="utf-8"?>
<sst xmlns="http://schemas.openxmlformats.org/spreadsheetml/2006/main" count="1696" uniqueCount="681">
  <si>
    <t>Database</t>
  </si>
  <si>
    <t>Queries</t>
  </si>
  <si>
    <t>Google Scholar</t>
  </si>
  <si>
    <t>Cognitive accessibility learning AND AI</t>
  </si>
  <si>
    <t>Cognitive disability learning tools OR NLP assistive technology</t>
  </si>
  <si>
    <t>Low resource Indic text simplification AND dyslexia</t>
  </si>
  <si>
    <t>Low resource Indic TTS OR multilingual Indic text simplification</t>
  </si>
  <si>
    <t>Cognitive accessibility AND natural language processing AND Indic languages</t>
  </si>
  <si>
    <t>Text summarization AND Indic languages AND low resource</t>
  </si>
  <si>
    <t>Dyslexia assessment AND Indian languages</t>
  </si>
  <si>
    <t>Dyslexia detection AND handwriting analysis AND explainable AI</t>
  </si>
  <si>
    <t>Dyslexia AND sentence reading AND (Hindi OR Bangla)</t>
  </si>
  <si>
    <t>ADHD AND natural language processing AND education technology</t>
  </si>
  <si>
    <t>ADHD AND machine learning AND personalized learning</t>
  </si>
  <si>
    <t>Computer vision AND accessibility AND cognitive disabilities</t>
  </si>
  <si>
    <t>NLP assistive technology AND cognitive disabilities AND education</t>
  </si>
  <si>
    <t>Cognitive accessibility AI learning OR low resource Indic TTS</t>
  </si>
  <si>
    <t>Dyslexia AND (machine learning OR classification model) AND learning strategies</t>
  </si>
  <si>
    <t xml:space="preserve">Title </t>
  </si>
  <si>
    <t xml:space="preserve">Year </t>
  </si>
  <si>
    <t>Authors</t>
  </si>
  <si>
    <t>Abstract</t>
  </si>
  <si>
    <t>Source</t>
  </si>
  <si>
    <t>DOI/ Link</t>
  </si>
  <si>
    <t>Article Type</t>
  </si>
  <si>
    <t>Keywords</t>
  </si>
  <si>
    <t>Online e-learning and cognitive disabilities: A systematic literature review (2019, Computers &amp; Education)</t>
  </si>
  <si>
    <r>
      <rPr>
        <rFont val="Times New Roman"/>
        <color rgb="FF000000"/>
        <sz val="11.0"/>
      </rPr>
      <t>Pierre-Antoine Cinquin,Pascal Guitton,</t>
    </r>
    <r>
      <rPr>
        <rFont val="Times New Roman"/>
        <color rgb="FF000000"/>
        <sz val="11.0"/>
        <u/>
      </rPr>
      <t>Hélène Sauzéon</t>
    </r>
  </si>
  <si>
    <r>
      <t xml:space="preserve">For decades now, as the issue of social progress has come to the fore, the drive to improve </t>
    </r>
    <r>
      <rPr>
        <rFont val="Times New Roman"/>
        <color rgb="FF000000"/>
        <sz val="11.0"/>
        <u/>
      </rPr>
      <t>access to education</t>
    </r>
    <r>
      <rPr>
        <rFont val="Times New Roman"/>
        <color rgb="FF000000"/>
        <sz val="11.0"/>
      </rPr>
      <t xml:space="preserve"> has been behind the growth in research into e-learning. The current </t>
    </r>
    <r>
      <rPr>
        <rFont val="Times New Roman"/>
        <color rgb="FF000000"/>
        <sz val="11.0"/>
        <u/>
      </rPr>
      <t>systematic literature review</t>
    </r>
    <r>
      <rPr>
        <rFont val="Times New Roman"/>
        <color rgb="FF000000"/>
        <sz val="11.0"/>
      </rPr>
      <t xml:space="preserve"> raised the question of the existence of studies addressing the specific needs of persons with </t>
    </r>
    <r>
      <rPr>
        <rFont val="Times New Roman"/>
        <color rgb="FF000000"/>
        <sz val="11.0"/>
        <u/>
      </rPr>
      <t>cognitive impairments</t>
    </r>
    <r>
      <rPr>
        <rFont val="Times New Roman"/>
        <color rgb="FF000000"/>
        <sz val="11.0"/>
      </rPr>
      <t xml:space="preserve">. Indeed, e-learning is expected to be one of the critical tools for improving access to education and ultimately aiding social inclusion. The systematic literature review was performed through a four-step process including an </t>
    </r>
    <r>
      <rPr>
        <rFont val="Times New Roman"/>
        <color rgb="FF000000"/>
        <sz val="11.0"/>
        <u/>
      </rPr>
      <t>exhaustive search</t>
    </r>
    <r>
      <rPr>
        <rFont val="Times New Roman"/>
        <color rgb="FF000000"/>
        <sz val="11.0"/>
      </rPr>
      <t xml:space="preserve"> of scientific literature databases, the selection of studies through exclusion and </t>
    </r>
    <r>
      <rPr>
        <rFont val="Times New Roman"/>
        <color rgb="FF000000"/>
        <sz val="11.0"/>
        <u/>
      </rPr>
      <t>inclusion criteria</t>
    </r>
    <r>
      <rPr>
        <rFont val="Times New Roman"/>
        <color rgb="FF000000"/>
        <sz val="11.0"/>
      </rPr>
      <t xml:space="preserve">, and literature analysis and synthesis. The main results are: 1) a lack of e-learning studies addressing the issue of accessibility for people with cognitive impairments (N = 29) with a purpose dominated by design guidelines rather than effectiveness assessment; 2) a weak inclusion of accessibility standards (N = 5) and 3) a weak inclusion of </t>
    </r>
    <r>
      <rPr>
        <rFont val="Times New Roman"/>
        <color rgb="FF000000"/>
        <sz val="11.0"/>
        <u/>
      </rPr>
      <t>special education</t>
    </r>
    <r>
      <rPr>
        <rFont val="Times New Roman"/>
        <color rgb="FF000000"/>
        <sz val="11.0"/>
      </rPr>
      <t xml:space="preserve"> findings (N = 3), with a focus on specific neuropsychological disorders or syndromes (dyslexia, </t>
    </r>
    <r>
      <rPr>
        <rFont val="Times New Roman"/>
        <color rgb="FF000000"/>
        <sz val="11.0"/>
        <u/>
      </rPr>
      <t>ADHD</t>
    </r>
    <r>
      <rPr>
        <rFont val="Times New Roman"/>
        <color rgb="FF000000"/>
        <sz val="11.0"/>
      </rPr>
      <t xml:space="preserve">, etc.) rather than on impairments of cognitive function (attention, memory, etc.) as promoted by the International Classification of Functioning (World Health Organization, 2001); 4) the identification of five families of accessibility function (adaptive systems, game elements, accessible content, </t>
    </r>
    <r>
      <rPr>
        <rFont val="Times New Roman"/>
        <color rgb="FF000000"/>
        <sz val="11.0"/>
        <u/>
      </rPr>
      <t>virtual agents</t>
    </r>
    <r>
      <rPr>
        <rFont val="Times New Roman"/>
        <color rgb="FF000000"/>
        <sz val="11.0"/>
      </rPr>
      <t xml:space="preserve"> and accessible interfaces or environments) and their dependency with activity-domain of learning. Results are discussed in terms of both design and assessment recommendations, promoting a multi-disciplinary approach combining educational sciences, </t>
    </r>
    <r>
      <rPr>
        <rFont val="Times New Roman"/>
        <color rgb="FF000000"/>
        <sz val="11.0"/>
        <u/>
      </rPr>
      <t>cognitive sciences</t>
    </r>
    <r>
      <rPr>
        <rFont val="Times New Roman"/>
        <color rgb="FF000000"/>
        <sz val="11.0"/>
      </rPr>
      <t xml:space="preserve"> and computer science to develop more accessible e-learning systems.</t>
    </r>
  </si>
  <si>
    <t>Science Direct</t>
  </si>
  <si>
    <t>https://doi.org/10.1016/j.compedu.2018.12.004</t>
  </si>
  <si>
    <t>Systematic review</t>
  </si>
  <si>
    <t>Cognitive accessibility learning</t>
  </si>
  <si>
    <t xml:space="preserve">Web accessibility design recommendationsfor people with cognitive disabilities        </t>
  </si>
  <si>
    <t>Mark G. Friedman∗ and Diane Nelson Bryen</t>
  </si>
  <si>
    <t>Web accessibility for people with Cognitive Disabilities has generated increasing interest in the professional web development, scholarly and advocacy communities in recent years, although there is little acknowledged agreement on how to proceed. This article conducts a review of the current understanding of experts in the field as exemplified by Web design guidelines. It provides current Web design recommendations that have achieved a high degree of agreement as well as four recommendations for implementation. Twenty existing Web design guidelines from Web accessibility experts, government and advocacy organizations were identified in an extensive literature review. Those disabilities specifically addressed by these guidelines included: cognitive disabilities (9), cognitive impairments (2), learning disabilities (4), dyslexia (3), aphasia (1), and mental retardation or intellectual disabilities (1). The authors of the Guidelines came from Australia (1), the United Kingdom (7), and the United States (12). The 20 guidelines contained 187 separate design recommendations which were combined due to duplications and organized for analysis. The top recommendations included: 1) Use pictures, graphics, icons and symbols along with text (75% agreement), 2) Use clear and simple text (70% agreement), 3) Use consistent navigation and design on every page (60% agreement), and 4) Use headings, titles, and prompts (50% agreement).</t>
  </si>
  <si>
    <t>http://dx.doi.org/10.3233/TAD-2007-19406</t>
  </si>
  <si>
    <t>Research article</t>
  </si>
  <si>
    <t>Enhancing E-learning Accessibility through AI(Artificial Intelligence) and Inclusive Design</t>
  </si>
  <si>
    <t>Chandramma R,Kunda Suresh Babu; K S Ranjith; Akash Kumar Sinha; Vikram Neerugatti; D Somashekhara Reddy</t>
  </si>
  <si>
    <t>E-learning has revolutionized the world of teaching and learning by providing learning possibilities for everyone. Making sure that these opportunities are fully inclusive to all learners, including those with disabilities, is the goal of this paper. This paper discusses the application of artificial intelligence and principles of inclusive design to enhance accessibility in e-learning with the ultimate goal of providing all learners with equal access to educational resources. Several applications of AI technologies hold great potential in making this transformation. The NLP and speech recognition tools can convert speech to text and text to speech, benefiting students with auditory or speech impairments. In general, adaptive learning systems with AI can produce personalization in educational content for the students regarding their learning styles and needs, which makes it possible for every student to interact efficiently with the material. Equally, these technologies offer descriptive audio to the visually impaired student and identify inaccessible elements within the educational materials. AI chatbots and virtual assistants support students in every step of their learning process, walking them through intricate concepts by dealing with their questions[9]. In fact, despite its potential to drive innovation, data privacy, technical limitations, and implementation costs are some of the challenges that AI currently faces. Addressing these challenges will be very important in achieving the full potential of AI-enhanced, inclusive e-learning. The current paper underscores the importance of AI and inclusive design toward the creation of an educational environment that is genuinely accessible and equitable for all learners.</t>
  </si>
  <si>
    <t>IEEE Explore</t>
  </si>
  <si>
    <t>https://doi.org/10.1109/ICMCSI64620.2025.10883148</t>
  </si>
  <si>
    <t>Towards Designing a Set of Usability and Accessibility Heuristics Focused on Cognitive Diversity: An Exploratory Case Study with Generative Artificial Intelligence</t>
  </si>
  <si>
    <t>Afra Pascual Almenara, Sergio Sayago Barrantes</t>
  </si>
  <si>
    <t>This paper discusses the design and evaluation of a set of heuristics (U + A) to assess the usability and accessibility of interactive systems in terms of cognitive diversity in an integrated way. Method: An analysis of the usability and accessibility aspects that have the greatest impact on people with cognitive disabilities is presented. A set of cognitive usability and accessibility heuristics targeted at people with cognitive disabilities is generated with the support of generative artificial intelligence (GenAI). Result: Several interactive systems are evaluated to validate the U + A heuristics. A quantitative classification of the evaluated systems is obtained, i.e., the “U + A-index”, which reveals the most and least usable and accessible systems for people with cognitive and learning disabilities. Conclusions: This study demonstrates that it is possible to carry out a classification of heuristic criteria considering accessibility, usability, and cognitive disability. The results also show that the selection of criteria proposed by GenAI is optimal and that this technology can be used to improve usability and accessibility of interactive systems in a practical way. Yet, further evaluations are needed to support the results of the analyzed proposal.</t>
  </si>
  <si>
    <t>MDPI</t>
  </si>
  <si>
    <t>https://doi.org/10.3390/info15120769</t>
  </si>
  <si>
    <t>Accessibility to electronic communication for people with cognitive disabilities: a systematic search and review of empirical evidence</t>
  </si>
  <si>
    <t xml:space="preserve">Johan Borg, Ann Lantz &amp; Jan Gulliksen </t>
  </si>
  <si>
    <t>The purpose of this study was to identify and synthesize measures for accessibility to electronic communication for people with cognitive disabilities by seeking answers to the following research questions: What measures to make electronic communication accessible to people with cognitive disabilities are evaluated and reported in the scientific literature? What documented effects do these measures have? Empirical studies describing and assessing cognitive accessibility measures were identified by searches of 13 databases. Data were extracted and methodological quality was assessed. Findings were analyzed and recommendations for practice and research were made. Twenty-nine articles with considerable variations in studied accessibility measures, diagnoses, methods, outcome measures, and quality were included. They address the use of Internet, e-mail, telephone, chat, television, multimedia interfaces, texts and pictures, operation of equipment, and entering of information. Although thin, the current evidence base indicates that the accessibility needs, requirements, and preferences of people with cognitive disabilities are diverse. This ought to be reflected in accessibility guidelines and standards. Studies to systematically develop and recommend effective accessibility measures are needed to address current knowledge gaps.</t>
  </si>
  <si>
    <t>Springer Nature</t>
  </si>
  <si>
    <t>https://doi.org/10.1007/s10209-014-0351-6</t>
  </si>
  <si>
    <t>Tools and Applications for Cognitive Accessibility</t>
  </si>
  <si>
    <t xml:space="preserve">K. Miesenberger, C. Edler, P. Heumader &amp; A. Petz </t>
  </si>
  <si>
    <t>Cognitive Accessibility is an important aspect of Web accessibility addressing a considerably large number of users and showing a high impact on general usability. Cognitive accessibility has been on the agenda in Web accessibility since its beginning but the body of R&amp;D is much smaller and also guidelines, standards, techniques, and tools are vaguer as well as addressed at a lower priority. The recent focus on cognitive accessibility in W3C/WAI changes the situation. This chapter discusses the state of the art and the different domains, where R&amp;D is needed for guidelines and standards, inclusion and participation of end users, take-up of the digital potential in service provision and new tool development based on user tracking/understanding and Artificial Intelligence (AI). We conclude by proposing a new concept of user involvement and a framework for R&amp;D supporting the integration of profiling, annotating, adapting and translating content for personalized Cognitive Accessibility and using/adapting proven and stable HCI concepts.</t>
  </si>
  <si>
    <t>https://doi.org/10.1007/978-1-4471-7440-0_28</t>
  </si>
  <si>
    <t>Supporting Learners with Cognitive Impairments in Online Environments</t>
  </si>
  <si>
    <t>R. Scott Grabinger, Cary Aplin, and Gitanjali Ponnappa-Brenner</t>
  </si>
  <si>
    <t>Kami has a psychiatric disability: bipolar disorder. She is beginning an online class. She opens the one-size-fits-all screen to read thesyllabus and sees six navigation buttons onthe left and another five at the top. The center ofthe screen is filled with single-spaced text flow-ing from one side to the other. The text includesa variety of introductory information, assign-ments, detailed instructions, and course expectations. A screen packed with information can be intimidating for anyone; for a person with cognitive impairments it is overwhelming. Kami,working independently, becomes bewildered and frustrated by all of the stimuli on the screens. She checks out the discussion forums and finds themhard to follow as they grow exponentially fromone day to another. In a few short days, she finds herself falling behind, has no assistance to help her adapt to online learning, and drops out of the online class, as many with cognitive impairments do (Carlton, 2004; Ito, 2004; Silva, 004;University of Colorado at Denver Disabilities Office, 2004).</t>
  </si>
  <si>
    <t>Tech Trends</t>
  </si>
  <si>
    <t>https://ipt287f09s2.pbworks.com/f/Supporting+Learners+with+Cognitive+Impairments.pdf</t>
  </si>
  <si>
    <t>Development and standardization of the DALI-DAB (Dyslexia Assessment for Languages of India) (2021, Annals of Dyslexia)</t>
  </si>
  <si>
    <t xml:space="preserve">Chaitra Rao, Sumathi T A , Rashi Midha , Geet Oberoi , Bhoomika Kar </t>
  </si>
  <si>
    <t>A majority of Indian schoolchildren are biliterate in that they acquire literacy in at least two language systems, necessitating dyslexia assessment in both. The DALI-DAB assesses risk for dyslexia by evaluating reading ability and literacy-learning potential through a battery including literacy tests (letter and word reading, spelling, nonword reading, reading comprehension), and mediator skills (phonological awareness, processing automaticity and executive fluency, oral language) in multiple languages. DALI-DAB was developed in three languages - English, Hindi, and Marathi - and standardized on a sample of 1013 children. Reliability analyses revealed high internal consistency (α &gt; 0.8) in most tests in all three languages. Low standard error of measurement values supported DALI-DAB score stability over repeated testing. Construct validity was variously reinforced through, (i) selection of culture-referenced, research-based tests, (ii) approval of test materials by schoolteachers (face validity) and (iii) grade-correlated performance increases on all DALI-DAB tests, besides robust correlations between (iv) literacy and mediator skill test scores (p &lt; .001, concurrent validity), (v) equivalent tests across languages (p &lt; .01, convergent validity), and (vi) DALI-DAB and WJ III ACH literacy scores (p &lt; .01, criterion validity), in contrast to (vii) low correlation between DALI-DAB and WJ III ACH math scores (p &gt; .05, discriminant validity). Overall, the DALI-DAB represents the first standardized dyslexia assessment tool for bilingual-biliterate children.</t>
  </si>
  <si>
    <t>PubMed</t>
  </si>
  <si>
    <t>https://doi.org/10.1007/s11881-021-00227-z</t>
  </si>
  <si>
    <t>Individual differences, cognitive abilities, aptitude complexes and learning conditions in second language acquisition</t>
  </si>
  <si>
    <t>Robinson, P</t>
  </si>
  <si>
    <t>Individual differences in cognitive abilities play a significant role in explaining variations among learners in the effectiveness of second language (L2) instructional treatments, as well as differences in implicit, incidental, and explicit L2 learning processes (Qiao, 2024). Moreover, these differences contribute to developmental distinctions between children and adults in L2 acquisition, underlining their relevance to any comprehensive theory of SLA (Qiao, 2024). To systematically investigate these influences, a coherent framework based on four interlocking hypotheses has been proposed: the Aptitude Complex Hypothesis, which posits that multiple cognitive abilities collectively underpin language learning aptitude; the Ability Differentiation Hypothesis, emphasizing that these cognitive abilities become increasingly distinct over development; the Fundamental Difference Hypothesis, asserting developmental changes in how cognitive abilities interact with learning mechanisms; and the Fundamental Similarity Hypothesis, suggesting underlying consistent cognitive processes across age groups (Snow, 1994; Lightbown &amp; Spada, 2006). This Aptitude Complex/Ability Differentiation framework encourages an interactionist approach, recognizing that individual differences and instructional conditions dynamically interplay across multiple levels of language learning (Snow, 1994). Such an approach has practical and theoretical significance as it motivates the development of theoretically sound measures of language aptitude and informs tailored instructional designs that accommodate variable cognitive profiles (Harley &amp; Hart, 1997; Robinson, 2005). Illustrations of identified interactions demonstrate that cognitive abilities like working memory, attentional control, and cognitive flexibility modulate how learners respond to diverse L2 input and task demands, influencing ultimate language proficiency outcomes (Qiao, 2024; Lightbown &amp; Spada, 2006).</t>
  </si>
  <si>
    <r>
      <rPr>
        <rFont val="Times New Roman"/>
        <color rgb="FF1155CC"/>
        <sz val="11.0"/>
        <u/>
      </rPr>
      <t>https://doi.org/10.1177/026765830101700405</t>
    </r>
  </si>
  <si>
    <t>Design of a Digital Application to Aid Hindi Alphabet Recognition/Formation forChildren With Learning Disability</t>
  </si>
  <si>
    <t>Abhishek Bose, Gojek</t>
  </si>
  <si>
    <t>Dyslexia is the most common learning disability that majorly affects language development and reading. In India, dyslexic children despite being moderately intelligent and good with English alphabetic knowledge perform poorly in Hindi. These children find it very difficult to recognize and remember the shapes of the Hindi alphabets because of its complex features such as the curves, matras (dependent-forms), halants (half-form), etc. The importance of learning Hindi cannot be ignored especially in India where all the major day to day activities are carried out in the Hindi language. After knowing the problem, the authors revisit the Hindi Alphabets (Varnmala) and tries to find out how the complex features of the Hindi alphabets can be taught efficiently. The data and insights were gathered through observation sessions, video recordings and behavioral studies of 5 dyslexic children aged 8-12 years. Open-ended interviews with teachers and parents helped to understand the problem better. A deeper analysis of the Hindi language led the authors to reconstruct all the 48 alphabets of the script (36 Consonants and 12 Vowels) using combinations of just 10 basic shapes. Findings from these sessions helped authors to design and develop an interactive touch-based digital application that helps these children to recognize and form Hindi alphabets efficiently and also provides audio-visual feedback to the children which makes learning fun. Testing the application with 12 dyslexic children revealed that the average time to learn a new Hindi alphabet got reduced from 2-3 weeks to one week.</t>
  </si>
  <si>
    <t>https://papers.iafor.org/wp-content/uploads/papers/ace2019/ACE2019_54553.pdf?t=8</t>
  </si>
  <si>
    <t>EASIER corpus: A lexical simplification resource for people with cognitive impairments</t>
  </si>
  <si>
    <t>Rodrigo Alarcon  ,Lourdes Moreno ,Paloma Martínez</t>
  </si>
  <si>
    <t>Thanks to technologies such as the Internet and devices now available to people, we have increasingly greater access to larger quantities of information. However, people with ageing disabilities or intellectual disabilities, non-native speakers, and others have difficulties reading and understanding information. For this reason, it is essential to provide text simplification mechanisms when accessing information. Natural Language Processing methods can be applied to simplify textual content and improve understanding. These methods often use machine learning algorithms and models which require resources, such as corpora, to be trained and tested. This article presents the EASIER corpus, a resource that can be used to build lexical simplification methods to process Spanish domain-independent texts. The EASIER corpus is composed of 260 annotated documents with 8,155 words labelled as complex and 5,130 words with at least one proposed context-aware synonym associated. Expert linguists in easy-to-read and plain language guidelines have annotated the corpus based on their experience adapting texts for people with intellectual disabilities. Sixteen annotation guidelines that discriminate between complex and simple words have been defined to help other groups of experts to generate new annotations. Additionally, an inter-annotator agreement test was performed to validate the corpus, obtaining a Fleiss Kappa coefficient of 0.641. Furthermore, a qualitative evaluation was conducted with 45 users (including people with intellectual disabilities, elderly people, and a control audience). Complex word identification tasks achieved moderate results, but the synonyms proposed to replace complex words achieved almost perfect ratings. This resource has been integrated into the EASIER platform, a tool that helps people with cognitive impairments and intellectual disabilities to read and understand texts more easily.</t>
  </si>
  <si>
    <t>https://journals.plos.org/plosone/article?id=10.1371%2Fjournal.pone.0283622</t>
  </si>
  <si>
    <t>Cognitive accessibility AI learning</t>
  </si>
  <si>
    <t>A conceptual framework for accessibility tools to benefit users with cognitive disabilities</t>
  </si>
  <si>
    <t>Paul Ryan Bohman, Shane Anderson</t>
  </si>
  <si>
    <t>The authors present a conceptual framework which tool developers can use to chart future directions of development of tools to benefit users with cognitive disabilities. The framework includes categories of functional cognitive disabilities, principles of cognitive disability accessibility, units of Web content analysis, aspects of analysis, and realms of responsibility.</t>
  </si>
  <si>
    <t>ACM</t>
  </si>
  <si>
    <t>https://dl.acm.org/doi/abs/10.1145/1061811.1061828</t>
  </si>
  <si>
    <t>Multisensory computer-based system for teaching sentence reading in Hindi and Bangla (2023, Technology and Disability</t>
  </si>
  <si>
    <t>Dipshikha Podder, Manjira Sinha, Tirthankar Dasgupta</t>
  </si>
  <si>
    <t>Though speaking skills in the mother tongue develop naturally, developing reading skills requires training. Dyslexia is a language-based learning disability that can affect the reading ability in any language. Although many literature is available to address these challenges, the need to teach sentence reading was neglected. This paper addresses problems faced while reading sentences. As computer-based multi-sensory teaching is considered as an effective way to teach children with dyslexia (CwD), the proposed system uses multisensory teaching methods to teach sentence reading in Hindi and Bangla languages. It shows sentences as word packages to teach word sequence and help with comprehension. The platform records the response time of the user to generate a performance report to monitor her performance. For evaluating the system, an expert survey was conducted with 26 special educators in two phases, pre-test and post-test. The questionnaires were prepared following previous literature under the expert’s supervision. The pre-test data helped in understanding the educators’ experience and opinions about assistive technology and the post-test data were used to evaluate the system. In the evaluation, all educators agreed that the system will be very useful for their students and it will give a generalised solution for all the challenges their students face.</t>
  </si>
  <si>
    <t>https://doi.org/10.3233/TAD-230005</t>
  </si>
  <si>
    <t>Text Simplification for Enhanced Readability</t>
  </si>
  <si>
    <t>Siddhartha Banerjee, Nitin Kumar and C. E. Veni Madhavan</t>
  </si>
  <si>
    <t>Our goal is to perform automatic simplification of a piece of text to enhance readability. We combine the two processes of summarization and simplification on the input text to effect improvement. We mimic the human acts of incremental learning and progressive refinement. The steps are based on: (i) phrasal units in the parse tree, yield clues (handles) on paraphrasing at a local word/phrase level for simplification, (ii) phrasal units also provide the means for extracting segments of a prototype summary, (iii) dependency lists provide the coherence structures for refining a prototypical summary. A validation and evaluation of a paraphrased text can be carried out by two methodologies: (a) standardized systems of readability, precision and recall measures, (b) human assessments. Our position is that a combined paraphrasing as above, both at lexical (word or phrase) level and a linguistic-semantic (parse tree, dependencies) level, would lead to better readability scores than neither approach performed separately.</t>
  </si>
  <si>
    <t>10.5220/0004626102020207</t>
  </si>
  <si>
    <t>A Survey of Automated text Simplification</t>
  </si>
  <si>
    <t>Matthew Shardlow</t>
  </si>
  <si>
    <t>Text simplification modifies syntax and lexicon to improve the understandability of language for an end user. This survey identifies and classifies simplification research within the period 1998-2013. Simplification can be used for many applications, including: Second language learners, preprocessing in pipelines and assistive technology. There are many approaches to the simplification task, including: lexical, syntactic, statistical machine translation and hybrid techniques. This survey also explores the current challenges which this field faces. Text simplification is a non-trivial task which is rapidly growing into its own field. This survey gives an overview of contemporary research whilst taking into account the history that has brought text simplification to its current state.</t>
  </si>
  <si>
    <t>Research Gate</t>
  </si>
  <si>
    <r>
      <rPr>
        <rFont val="Times New Roman"/>
        <color rgb="FF1155CC"/>
        <sz val="11.0"/>
        <u/>
      </rPr>
      <t>10.14569/SpecialIssue.2014.040109</t>
    </r>
  </si>
  <si>
    <t>AI driven Text Simplification:Improving Web Accessibility in Cognitive Challanges</t>
  </si>
  <si>
    <t>Jie Chen</t>
  </si>
  <si>
    <t>Many people find it hard to read complex online texts, especially those with ADHD,dyslexia, memory difficulties, or who are learning a new language. This study looks athow AI can help make digital content easier to read. A prototype was developed thatuses Puppeteer to extract website content and LLaMA 3.2 to simplify the text basedon Easy-to-Read (E2R) guidelines. An online survey with 54 general readers and ausability test with nine participants who have reading challenges were conducted.Results showed that most people preferred the simplified version. In the onlinesurvey, 69% chose the AI version, and it was read about 33 seconds faster. In theusability test, reading time dropped by over 82%, and all participants answered thequestions correctly. Many found the simplified version easier to read and understand,though some felt it missed details or sounded too casual. The findings suggest AI cansupport accessibility by reducing cognitive load, but the tone still matters. The studyhighlights both the benefits and limitations of using AI for real-time textsimplification on websites.</t>
  </si>
  <si>
    <t>https://www.diva-portal.org/smash/get/diva2:1970401/FULLTEXT01.pdf</t>
  </si>
  <si>
    <t>Thesis</t>
  </si>
  <si>
    <t>Accessibility Barriers in K–12 Digital Learning Platforms for Students with ADHD: Addressing Executive Function and Cognitive Load Challenge</t>
  </si>
  <si>
    <t>Belen Echegary</t>
  </si>
  <si>
    <t>As digital learning platforms become integral to Kindergarten through Grade 12 education, the need for inclusive and accessible design has grown more urgent. Accessibility in education involves eliminating barriers that prevent learners with disabilities from fully participating and achieving their goals. While accessibility is often framed in terms of physical or sensory accommodations, students with cognitive and attentional disabilities, like Attention Deficit Hyperactivity Disorder (ADHD), face less visible but significantly impactful challenges. These challenges are most evident in digital environments that assume consistent attention, executive functioning, and independent time management, all of which are areas in which many students with ADHD experience difficulty (Hart Barnett, 2017).</t>
  </si>
  <si>
    <t>https://pressbooks.pub/alttexts2025/chapter/accessibility-barriers-in-k-12-digital-learning-platforms-for-students-with-adhd/</t>
  </si>
  <si>
    <t>Cognitive disability learning tools AI</t>
  </si>
  <si>
    <t>Cognitive and Affective Brain–Computer Interfaces for Improving Learning Strategies and Enhancing Student Capabilities: A Systematic Literature Review</t>
  </si>
  <si>
    <r>
      <rPr>
        <rFont val="Times New Roman"/>
        <color rgb="FF000000"/>
        <sz val="11.0"/>
      </rPr>
      <t>Nuraini Jamil</t>
    </r>
    <r>
      <rPr>
        <rFont val="Times New Roman"/>
        <color rgb="FF333333"/>
        <sz val="11.0"/>
      </rPr>
      <t xml:space="preserve">; </t>
    </r>
    <r>
      <rPr>
        <rFont val="Times New Roman"/>
        <color rgb="FF000000"/>
        <sz val="11.0"/>
      </rPr>
      <t>Abdelkader Nasreddine Belkacem</t>
    </r>
    <r>
      <rPr>
        <rFont val="Times New Roman"/>
        <color rgb="FF333333"/>
        <sz val="11.0"/>
      </rPr>
      <t xml:space="preserve">; </t>
    </r>
    <r>
      <rPr>
        <rFont val="Times New Roman"/>
        <color rgb="FF000000"/>
        <sz val="11.0"/>
      </rPr>
      <t>Sofia Ouhbi</t>
    </r>
    <r>
      <rPr>
        <rFont val="Times New Roman"/>
        <color rgb="FF333333"/>
        <sz val="11.0"/>
      </rPr>
      <t xml:space="preserve">; </t>
    </r>
    <r>
      <rPr>
        <rFont val="Times New Roman"/>
        <color rgb="FF000000"/>
        <sz val="11.0"/>
      </rPr>
      <t>Christoph Guger</t>
    </r>
  </si>
  <si>
    <t>Brain–computer interface (BCI) technology has the potential to positively contribute to the educational learning environment, which faces many challenges and shortcomings. Cognitive and affective BCIs can offer a deep understanding of brain mechanisms, which may improve learning strategies and increase brain-based skills. They can offer a better empirical foundation for teaching–learning methodologies, including adjusting learning content based on brain workload, measuring student interest of a topic, or even helping students focus on specific tasks. The latest findings from emerging BCI technology, neuroscience, cognitive sciences, and psychology could be used in learning and teaching strategies to improve student abilities in education. This study investigates and analyzes the research on BCI patterns and its implementation for enhancing cognitive capabilities of students. The results showed that there is insufficient literature on BCI that addresses students with disabilities in the learning process. Further, our analysis revealed a bias toward the significance of cognitive process factors compared with other influential factors, such as the learning environment and emotions that influence learning. Finally, we concluded that BCI technology could improve students’ learning and cognitive skills—when consistently associated with the different pedagogical teaching–learning strategies—for better academic achievement.</t>
  </si>
  <si>
    <t>10.1109/ACCESS.2021.3115263.</t>
  </si>
  <si>
    <t>Design of Learning Spaces: Emotional and Cognitive Effects of Learning Environments in Relation to Child Development</t>
  </si>
  <si>
    <t>Petra A Arndt</t>
  </si>
  <si>
    <t>The design of learning spaces is rightly gaining more and more pedagogical attention, as they influence the learning climate and learning results in multiple ways. General structural characteristics influence the willingness to learn through emotional well-being and a sense of security. Specific structural characteristics influence cognitive processes, from visual and acoustic perceptions, via attention to the model, to processes of comprehension and reflection. Aspects of the design of the learning space also modify the interaction among students and between students and their teacher. Furthermore, the different requirements that have emerged through the development toward a learning society and the explosive increase of available information in our society require changes in the design of learning processes and thus of learning environments. Taking biological needs and neurobiological processes into account when designing learning spaces can provide a beneficial learning environment with regard to mental resources. This article will highlight relevant (neuro)biological fundamentals and try to describe resulting conclusions for the design of learning spaces.</t>
  </si>
  <si>
    <t>WILEY</t>
  </si>
  <si>
    <t>https://doi.org/10.1111/j.1751-228X.2011.01136.x</t>
  </si>
  <si>
    <t>Cognitive requirements for learning with open-ended learning environments</t>
  </si>
  <si>
    <t>Susan M Land</t>
  </si>
  <si>
    <t>Open-ended learning environments (OELEs) use the capabilities of technology to provide students with opportunities to engage in authentic problem solving; generate, test, and revise hypotheses; explore and manipulate concepts; and reflect on what they know. By design, such environments require sophisticated levels of cognitive functioning. The purpose of this paper is to critically analyze assumptions underlying learner-centered, technology-based environments in light of how well learners appear to meet the cognitive demands for engaging them. Implications for design include the following considerations: (a) direct learner attention to key variables and visual cues; (b) prompt and guide connections to prior knowledge; and (c) provide explicit scaffolding of metacognition and teaching-learning strategies.</t>
  </si>
  <si>
    <t>https://doi.org/10.1007/BF02319858</t>
  </si>
  <si>
    <t>Where Students With the Most Significant Cognitive Disabilities Are Taught: Implications for General Curriculum Access</t>
  </si>
  <si>
    <t>Kleinert, H., Towles-Reeves, E., Quenemoen, R., Thurlow, M., Fluegge, L., Weseman, L., &amp; Kerbel, A.</t>
  </si>
  <si>
    <t>Surveying 15 states and 39,837 students, this study examined the extent to which students who took an alternate assessment based on alternate achievement standards in the 2010–2011 school year had access to regular education settings and the extent to which that access correlated with expressive communication, use of an augmentative or alternative communication (AAC) system, and reading and math skill levels. The vast majority (93%) of students were served in self-contained classrooms, separate schools, or home settings, whereas only 7% were served in regular education or resource room placements. There was a significant, positive correlation between expressive communication and reading and math skill levels with increasingly inclusive classroom settings and a significant, negative correlation between use of AAC and more inclusive settings. Implications of these findings are discussed.</t>
  </si>
  <si>
    <r>
      <rPr>
        <rFont val="Times New Roman"/>
        <color rgb="FF1155CC"/>
        <sz val="11.0"/>
        <u/>
      </rPr>
      <t>https://doi.org/10.1177/001440291456</t>
    </r>
  </si>
  <si>
    <t>The prediction of reading comprehension by cognitive and motivational factors: Does text accessibility during comprehension testing make a difference?</t>
  </si>
  <si>
    <r>
      <rPr>
        <rFont val="Times New Roman"/>
        <color rgb="FF000000"/>
        <sz val="11.0"/>
      </rPr>
      <t xml:space="preserve">Ellen Schaffner, </t>
    </r>
    <r>
      <rPr>
        <rFont val="Times New Roman"/>
        <color rgb="FF000000"/>
        <sz val="11.0"/>
        <u/>
      </rPr>
      <t>Ulrich Schiefele</t>
    </r>
  </si>
  <si>
    <t>This study examined the unique contributions of various predictors to reading comprehension measured either without or with access to the text during testing. Reasoning ability, prior knowledge, and decoding skills were assumed to have stronger contributions to comprehension without text access than with text access, whereas current motivation should be more strongly associated with comprehension measured with access to the text. Metacognitive strategy knowledge and test anxiety were expected to be equally associated with comprehension in the two test conditions. Participants were 424 eighth- and ninth-grade students. They were presented with several instruments measuring cognitive and motivational predictors and read a text on a mathematical topic; then half of them took a test on comprehension either without or with text access. Based on multiple-group structural equation modeling, results indicated that reasoning ability, decoding ability, and metacognitive strategy knowledge significantly predicted comprehension only in the without-text condition, whereas achievement motivation and test anxiety significantly predicted comprehension only in the with-text condition. The unique contributions of intrinsic motivation to comprehension were significant, but did unexpectedly not differ between the without-text and the with-text condition.</t>
  </si>
  <si>
    <t>https://doi.org/10.1016/j.lindif.2013.04.003</t>
  </si>
  <si>
    <t>Evaluating the Readability of Text Simplification Output for Readers with Cognitive Disabilities</t>
  </si>
  <si>
    <t>Victoria Yaneva, Irina Temnikova, Ruslan Mitkov</t>
  </si>
  <si>
    <t>This paper presents an approach for automatic evaluation of the readability of text simplification output for readers with cognitive disabilities. First, we present our work towards the development of the EasyRead corpus, which contains easy-to-read documents created especially for people with cognitive disabilities. We then compare the EasyRead corpus to the simplified output contained in the LocalNews corpus (Feng, 2009), the accessibility of which has been evaluated through reading comprehension experiments including 20 adults with mild intellectual disability. This comparison is made on the basis of 13 disability-specific linguistic features. The comparison reveals that there are no major differences between the two corpora, which shows that the EasyRead corpus is to a similar reading level as the user-evaluated texts. We also discuss the role of Simple Wikipedia (Zhu et al., 2010) as a widely-used accessibility benchmark, in light of our finding that it is significantly more complex than both the EasyRead and the LocalNews corpora.</t>
  </si>
  <si>
    <t>Aclanthology Org</t>
  </si>
  <si>
    <t>https://aclanthology.org/L16-1045/</t>
  </si>
  <si>
    <t>Low resource Indic text simplification learning disabilities</t>
  </si>
  <si>
    <t>Neural Machine Translation in Low-Resource Setting: English–Marathi” — MTSummit → Maybe</t>
  </si>
  <si>
    <t>Aakash Banerjee, Aditya Jain</t>
  </si>
  <si>
    <t>In this paper and we explore different techniques of overcoming the challenges of low-resource in Neural Machine Translation (NMT) and specifically focusing on the case of English-Marathi NMT. NMT systems require a large amount of parallel corpora to obtain good quality translations. We try to mitigate the low-resource problem by augmenting parallel corpora or by using transfer learning. Techniques such as Phrase Table Injection (PTI) and back-translation and mixing of language corpora are used for enhancing the parallel data; whereas pivoting and multilingual embeddings are used to leverage transfer learning. For pivoting and Hindi comes in as assisting language for English-Marathi translation. Compared to baseline transformer model and a significant improvement trend in BLEU score is observed across various techniques. We have done extensive manual and automatic and qualitative evaluation of our systems. Since the trend in Machine Translation (MT) today is post-editing and measuring of Human Effort Reduction (HER) and we have given our preliminary observations on Translation Edit Rate (TER) vs. BLEU score study and where TER is regarded as a measure of HER.</t>
  </si>
  <si>
    <t>https://aclanthology.org/2021.mtsummit-research.4/</t>
  </si>
  <si>
    <t>Creating Access to the General Curriculum With Links to Grade-Level Content for Students With Significant Cognitive Disabilities: An Explication of the Concept</t>
  </si>
  <si>
    <t>Browder, D. M., Wakeman, S. Y., Flowers, C., Rickelman, R. J., Pugalee, D., &amp; Karvonen, M</t>
  </si>
  <si>
    <t>Current federal policy requires that students with disabilities participate in large-scale assessments and be included in schools' scores for adequate yearly progress. Students with significant cognitive disabilities may participate in an alternate assessment with alternate achievement standards, but these standards must be linked to grade-level content and promote access to the general curriculum. Because most research with this population has focused on nonacademic life skills, few guidelines exist for teaching and assessing skills that are linked to grade-level content. One challenge to developing research and practice in grade-linked academic content for students with significant cognitive disabilities is the absence of a clear conceptual framework. This article—developed by a team of special education, curriculum content, and measurement experts—proposes a conceptual definition and criteria for linking instruction and assessment to grade-level academic content.</t>
  </si>
  <si>
    <t>https://doi.org/10.1177/00224669070410010101</t>
  </si>
  <si>
    <t>Cognitive disability education</t>
  </si>
  <si>
    <t>Disrupting Education? Experimental Evidence on Technology-Aided Instruction in India</t>
  </si>
  <si>
    <t>Karthik Muralidharan,Abhijeet Singh,Alejandro J. Ganimian</t>
  </si>
  <si>
    <t>We study the impact of a personalized technology-aided after-school instruction program in middle-school grades in urban India using a lottery that provided winners with free access to the program. Lottery winners scored 0.37 sigma higher in math and 0.23 sigma higher in Hindi over just a 4.5-month period. IV estimates suggest that attending the program for 90 days would increase math and Hindi test scores by 0.6 sigma and 0.39 sigma respectively. We find similar absolute test score gains for all students, but much greater relative gains for academically-weaker students. Our results suggest that well-designed, technology-aided instruction programs can sharply improve productivity in delivering education.</t>
  </si>
  <si>
    <t>10.1257/aer.20171112</t>
  </si>
  <si>
    <t>Review article</t>
  </si>
  <si>
    <t>Cognitive Complexity Analysis of Learning-Related Texts: A Case Study on School Textbooks</t>
  </si>
  <si>
    <t>Das, S., Das Mandal, S.K., Basu</t>
  </si>
  <si>
    <t>The proposed work analyzes the cognitive complexity of given text-based learning material. Cognitive complexity refers to the thinking skills that are required to process the information which is present in the content of the text. A standard methodology to identify cognitive complexity is the use of Bloom’s Taxonomy. However, as observed from the experiments that some of the action verbs are often present in multiple cognitive levels causing ambiguity about the true sense of cognition. To overcome this drawback, signal words of informational text structure has been used as an added feature. Based on both cognitive action verbs of Bloom’s Taxonomy and signal words together, a computational approach using the SVM model has been used for an experiment on the NCERT dataset. It was observed that using signal words as an additional feature has significantly improved the classification task as compared to using only Bloom’s Taxonomy action verbs</t>
  </si>
  <si>
    <t xml:space="preserve">Springer </t>
  </si>
  <si>
    <t>https://doi.org/10.1007/978-3-030-52538-5_9</t>
  </si>
  <si>
    <t>A Novel Approach for Low Resource Indic Languages to Automatic Knowledge Graph Construction</t>
  </si>
  <si>
    <t>Preeti Vats, Nonita Sharma, Deepak Kumar Sharma</t>
  </si>
  <si>
    <t>Knowledge graph (KG), a visual representation of text data as a semantic network, holds enormous promise for the development of more intelligent robots. It leads to significant potential solutions for many tasks like question answering, recommendation, and information retrieval. However, this area is confined to using English text only. Since low-resource languages are now being used in the world of AI, it is necessary to develop a semantic network for them as well. In this research work, the authors provide state-of-the-art techniques for automatic knowledge graph construction for the Hindi language, which is still unexplored in ontology. Constructing a knowledge graph faces several hurdles and obstacles in the linguistic domain, primarily when it deals with the Hindi language. With an emphasis on the Indian perspective, this research intends to introduce a novel approach ‘HKG’ for knowledge graph construction framework for Hindi. It also implements the LSTM model to evaluate the accuracy of newly constructed knowledge graphs and compute different evaluation metrics such as accuracy and F1-score. This knowledge graph evaluates the accuracy of 87.50 using Doc2Vec word embedding with a train-test split of 7:3.</t>
  </si>
  <si>
    <t>ACM Digital Library</t>
  </si>
  <si>
    <t>https://doi.org/10.1145/3611306</t>
  </si>
  <si>
    <t>Code-Switching ASR for Low-Resource Indic Languages: A Hindi-Marathi Case Study</t>
  </si>
  <si>
    <t>H. Palivela, M. Narvekar, D. Asirvatham, S. Bhushan, V. Rishiwal and U. Agarwal</t>
  </si>
  <si>
    <t>This work examines the development of Automatic Speech Recognition (ASR) systems for low-resource languages, focusing on Hindi and Marathi, particularly in multilingual and code-switching environments. ASR systems, which convert spoken language into text, face significant challenges when applied to low-resource languages with limited data for training models. These challenges are exacerbated in multilingual settings, particularly during code-switching, where speakers alternate between languages within a conversation. This paper underscores the current state of ASR for Indic languages, highlighting linguistic complexities such as diverse sentence structures, phonetic variety, and frequent code-switching. Code-switching introduces additional challenges, as ASR systems must rapidly identify language boundaries and adapt to linguistic shifts. Present systems struggle to perform adequately with code-switched data due to the complexity of phonetic structures and the lack of comprehensive, annotated speech corpora. This work critically evaluates current methods and proposes improvements using modern deep-learning techniques to address the primary challenges in developing efficient ASR models for Hindi and Marathi. Moreover, performance comparisons of monolingual, bilingual, and multilingual ASR systems indicate that multilingual approaches are more effective in managing linguistic diversity. The efficacy of these systems can be evaluated using performance metrics such as the Phoneme Error Rate (PER) and the Word Error Rate (WER), which assess word recognition accuracy.</t>
  </si>
  <si>
    <t>10.1109/ACCESS.2025.3527745</t>
  </si>
  <si>
    <t>Lexical simplification for the systematic support of cognitive accessibility guidelines</t>
  </si>
  <si>
    <t>Rodrigo Alarcón García</t>
  </si>
  <si>
    <t>The Internet has come a long way in recent years, contributing to the proliferation of large volumes of digitally available information. Through user interfaces we can access these contents, however, they are not accessible to everyone. The main users affected are people with disabilities, who are already a considerable number, but accessibility barriers affect a wide range of user groups and contexts of use in accessing digital information. Some of these barriers are caused by language inaccessibility when texts contain long sentences, unusual words and complex linguistic structures. These accessibility barriers directly affect people with cognitive disabilities. For the purpose of making textual content more accessible, there are initiatives such as the Easy Reading guidelines, the Plain Language guidelines and some of the language-specific Web Content Accessibility Guidelines (WCAG). These guidelines provide documentation, but do not specify methods for meeting the requirements implicit in these guidelines in a systematic way. To obtain a solution, methods from the Natural Language Processing (NLP) discipline can provide support for achieving compliance with the cognitive accessibility guidelines for the language. The task of text simplification aims at reducing the linguistic complexity of a text from a syntactic and lexical perspective, the latter being the main focus of this Thesis. In this sense, one solution space is to identify in a text which words are complex or uncommon, and in the case that there were, to provide a more usual and simpler synonym, together with a simple definition, all oriented to people with cognitive disabilities. With this goal in mind, this Thesis presents the study, analysis, design and development of an architecture, NLP methods, resources and tools for the lexical simplification of texts for the Spanish language in a generic domain in the field of cognitive accessibility. To achieve this, each of the steps present in the lexical simplification processes is studied, together with methods for word sense disambiguation. As a contribution, different types of word embedding are explored and created, supported by traditional and dynamic embedding methods, such as transfer learning methods. In addition, since most of the NLP methods require data for their operation, a resource in the framework of cognitive accessibility is presented as a contribution.</t>
  </si>
  <si>
    <t>https://core.ac.uk/download/pdf/541362287.pdf</t>
  </si>
  <si>
    <t>Cognitive accessibility ai solutions learning</t>
  </si>
  <si>
    <t>A Review of Research-Based Automatic Text Simplification Tools</t>
  </si>
  <si>
    <r>
      <rPr>
        <rFont val="Times New Roman"/>
        <color rgb="FF000000"/>
        <sz val="11.0"/>
      </rPr>
      <t>Isabel Espinosa-Zaragoza</t>
    </r>
    <r>
      <rPr>
        <rFont val="Times New Roman"/>
        <color rgb="FF212529"/>
        <sz val="11.0"/>
      </rPr>
      <t xml:space="preserve">, </t>
    </r>
    <r>
      <rPr>
        <rFont val="Times New Roman"/>
        <color rgb="FF000000"/>
        <sz val="11.0"/>
      </rPr>
      <t>José Abreu-Salas</t>
    </r>
    <r>
      <rPr>
        <rFont val="Times New Roman"/>
        <color rgb="FF212529"/>
        <sz val="11.0"/>
      </rPr>
      <t xml:space="preserve">, </t>
    </r>
    <r>
      <rPr>
        <rFont val="Times New Roman"/>
        <color rgb="FF000000"/>
        <sz val="11.0"/>
      </rPr>
      <t>Elena Lloret</t>
    </r>
    <r>
      <rPr>
        <rFont val="Times New Roman"/>
        <color rgb="FF212529"/>
        <sz val="11.0"/>
      </rPr>
      <t xml:space="preserve">, </t>
    </r>
    <r>
      <rPr>
        <rFont val="Times New Roman"/>
        <color rgb="FF000000"/>
        <sz val="11.0"/>
      </rPr>
      <t>Paloma Moreda</t>
    </r>
    <r>
      <rPr>
        <rFont val="Times New Roman"/>
        <color rgb="FF212529"/>
        <sz val="11.0"/>
      </rPr>
      <t xml:space="preserve">, </t>
    </r>
    <r>
      <rPr>
        <rFont val="Times New Roman"/>
        <color rgb="FF000000"/>
        <sz val="11.0"/>
      </rPr>
      <t>Manuel Palomar</t>
    </r>
  </si>
  <si>
    <t>In the age of knowledge, the democratisation of information facilitated through the Internet may not be as pervasive if written language poses challenges to particular sectors of the population. The objective of this paper is to present an overview of research-based automatic text simplification tools. Consequently, we describe aspects such as the language, language phenomena, language levels simplified, approaches, specific target populations these tools are created for (e.g. individuals with cognitive impairment, attention deficit, elderly people, children, language learners), and accessibility and availability considerations. The review of existing studies covering automatic text simplification tools is undergone by searching two databases: Web of Science and Scopus. The eligibility criteria involve text simplification tools with a scientific background in order to ascertain how they operate. This methodology yielded 27 text simplification tools that are further analysed. Some of the main conclusions reached with this review are the lack of resources accessible to the public, the need for customisation to foster the individual’s independence by allowing the user to select what s/he finds challenging to understand while not limiting the user’s capabilities and the need for more simplification tools in languages other than English, to mention a few.</t>
  </si>
  <si>
    <t>https://aclanthology.org/2023.ranlp-1.36/</t>
  </si>
  <si>
    <t>Cognitive augmentation: AI-enhanced tools for supporting individuals with cognitive disabilities</t>
  </si>
  <si>
    <t>Alnfiai, M.M., Alsudairy, N.A., Alharbi</t>
  </si>
  <si>
    <t>Cognitive disabilities significantly impact individuals' ability to navigate daily life, creating challenges in communication, memory, and task performance. This research proposes an AI-enhanced framework integrating neural network technologies and advanced natural language processing algorithms to support individuals with cognitive disabilities. The framework aims to enhance language understanding, memory retention, and overall task efficiency. Its validity is demonstrated through experiments and performance analysis using real-world datasets, showing marked improvements in language comprehension, memory recall, and task execution. Key factors influencing the model's effectiveness include the severity of cognitive impairments, individual cognitive profiles, and the adaptability of AI algorithms. The transformative potential of AI-driven interventions is highlighted, offering personalized, scalable solutions to meet diverse needs. This study contributes to ongoing discussions on leveraging technology to promote independence, inclusion, and quality of life for individuals with cognitive disabilities, laying the groundwork for future advancements in cognitive augmentation and assistive technologies.</t>
  </si>
  <si>
    <t>https://doi.org/10.1007/s10339-025-01258-9</t>
  </si>
  <si>
    <t>Ensuring Accessible AI-based Students Cognitive Assistance for Improving Career Growth</t>
  </si>
  <si>
    <r>
      <rPr>
        <rFont val="Times New Roman"/>
        <color rgb="FF000000"/>
        <sz val="11.0"/>
      </rPr>
      <t>Breisen Fantino E</t>
    </r>
    <r>
      <rPr>
        <rFont val="Times New Roman"/>
        <color rgb="FF333333"/>
        <sz val="11.0"/>
      </rPr>
      <t xml:space="preserve">; </t>
    </r>
    <r>
      <rPr>
        <rFont val="Times New Roman"/>
        <color rgb="FF000000"/>
        <sz val="11.0"/>
      </rPr>
      <t>Deepakraj S</t>
    </r>
    <r>
      <rPr>
        <rFont val="Times New Roman"/>
        <color rgb="FF333333"/>
        <sz val="11.0"/>
      </rPr>
      <t xml:space="preserve">; </t>
    </r>
    <r>
      <rPr>
        <rFont val="Times New Roman"/>
        <color rgb="FF000000"/>
        <sz val="11.0"/>
      </rPr>
      <t>Radha Krishnan K R</t>
    </r>
  </si>
  <si>
    <t>The rapidly evolving job market demands innovative career guidance systems capable of adapting to dynamic industry needs and individual aspirations. Traditional career counseling methods, characterized by static assessments and generic recommendations, are no longer sufficient in addressing these challenges. This study explores proposes an AI-based cognitive assistance platform that leverages machine learning (ML), natural language processing (NLP), real-time labor market integration, and adaptive psychometric assessments to deliver personalized career recommendations. The system analyzes user data, such as skills, goals, and interests, alongside external labor market trends to provide real-time, actionable insights. Key features include graph-based recommendation models, sentiment-driven goal analysis, and gamification elements to enhance user engagement. Performance evaluations demonstrate a 92% accuracy in career recommendations, a significant improvement over traditional methods. Comparative analysis highlights the system’s superior adaptability, engagement, and scalability. This research provides a comprehensive solution for career guidance, empowering students and professionals to make informed decisions and achieve sustainable career growth.</t>
  </si>
  <si>
    <t>10.1109/ICICCS65191.2025.10984448.</t>
  </si>
  <si>
    <t>Lessons Learned from Designing and Evaluating CLAICA: A Continuously Learning AI Cognitive Assistant</t>
  </si>
  <si>
    <r>
      <rPr>
        <rFont val="Times New Roman"/>
        <color rgb="FF000000"/>
        <sz val="11.0"/>
      </rPr>
      <t>Samuel</t>
    </r>
    <r>
      <rPr>
        <rFont val="Times New Roman"/>
        <color rgb="FF000000"/>
        <sz val="11.0"/>
      </rPr>
      <t xml:space="preserve"> </t>
    </r>
    <r>
      <rPr>
        <rFont val="Times New Roman"/>
        <color rgb="FF000000"/>
        <sz val="11.0"/>
      </rPr>
      <t>Kernan Freire</t>
    </r>
    <r>
      <rPr>
        <rFont val="Times New Roman"/>
        <color rgb="FF6B6B6B"/>
        <sz val="11.0"/>
      </rPr>
      <t xml:space="preserve">, </t>
    </r>
    <r>
      <rPr>
        <rFont val="Times New Roman"/>
        <color rgb="FF000000"/>
        <sz val="11.0"/>
      </rPr>
      <t>Evangelos</t>
    </r>
    <r>
      <rPr>
        <rFont val="Times New Roman"/>
        <color rgb="FF000000"/>
        <sz val="11.0"/>
      </rPr>
      <t xml:space="preserve"> </t>
    </r>
    <r>
      <rPr>
        <rFont val="Times New Roman"/>
        <color rgb="FF000000"/>
        <sz val="11.0"/>
      </rPr>
      <t>Niforatos</t>
    </r>
    <r>
      <rPr>
        <rFont val="Times New Roman"/>
        <color rgb="FF6B6B6B"/>
        <sz val="11.0"/>
      </rPr>
      <t xml:space="preserve">, </t>
    </r>
    <r>
      <rPr>
        <rFont val="Times New Roman"/>
        <color rgb="FF000000"/>
        <sz val="11.0"/>
      </rPr>
      <t>Chaofan</t>
    </r>
    <r>
      <rPr>
        <rFont val="Times New Roman"/>
        <color rgb="FF000000"/>
        <sz val="11.0"/>
      </rPr>
      <t xml:space="preserve"> </t>
    </r>
    <r>
      <rPr>
        <rFont val="Times New Roman"/>
        <color rgb="FF000000"/>
        <sz val="11.0"/>
      </rPr>
      <t>Wang</t>
    </r>
    <r>
      <rPr>
        <rFont val="Times New Roman"/>
        <color rgb="FF6B6B6B"/>
        <sz val="11.0"/>
      </rPr>
      <t xml:space="preserve">, </t>
    </r>
    <r>
      <rPr>
        <rFont val="Times New Roman"/>
        <color rgb="FF000000"/>
        <sz val="11.0"/>
      </rPr>
      <t>Santiago</t>
    </r>
    <r>
      <rPr>
        <rFont val="Times New Roman"/>
        <color rgb="FF000000"/>
        <sz val="11.0"/>
      </rPr>
      <t xml:space="preserve"> </t>
    </r>
    <r>
      <rPr>
        <rFont val="Times New Roman"/>
        <color rgb="FF000000"/>
        <sz val="11.0"/>
      </rPr>
      <t>Ruiz-Arenas</t>
    </r>
    <r>
      <rPr>
        <rFont val="Times New Roman"/>
        <color rgb="FF6B6B6B"/>
        <sz val="11.0"/>
      </rPr>
      <t xml:space="preserve">, </t>
    </r>
    <r>
      <rPr>
        <rFont val="Times New Roman"/>
        <color rgb="FF000000"/>
        <sz val="11.0"/>
      </rPr>
      <t>Mina</t>
    </r>
    <r>
      <rPr>
        <rFont val="Times New Roman"/>
        <color rgb="FF000000"/>
        <sz val="11.0"/>
      </rPr>
      <t xml:space="preserve"> </t>
    </r>
    <r>
      <rPr>
        <rFont val="Times New Roman"/>
        <color rgb="FF000000"/>
        <sz val="11.0"/>
      </rPr>
      <t>Foosherian</t>
    </r>
    <r>
      <rPr>
        <rFont val="Times New Roman"/>
        <color rgb="FF6B6B6B"/>
        <sz val="11.0"/>
      </rPr>
      <t xml:space="preserve">, </t>
    </r>
    <r>
      <rPr>
        <rFont val="Times New Roman"/>
        <color rgb="FF000000"/>
        <sz val="11.0"/>
      </rPr>
      <t>Stefan</t>
    </r>
    <r>
      <rPr>
        <rFont val="Times New Roman"/>
        <color rgb="FF000000"/>
        <sz val="11.0"/>
      </rPr>
      <t xml:space="preserve"> </t>
    </r>
    <r>
      <rPr>
        <rFont val="Times New Roman"/>
        <color rgb="FF000000"/>
        <sz val="11.0"/>
      </rPr>
      <t>Wellsandt</t>
    </r>
    <r>
      <rPr>
        <rFont val="Times New Roman"/>
        <color rgb="FF6B6B6B"/>
        <sz val="11.0"/>
      </rPr>
      <t xml:space="preserve">, </t>
    </r>
    <r>
      <rPr>
        <rFont val="Times New Roman"/>
        <color rgb="FF000000"/>
        <sz val="11.0"/>
      </rPr>
      <t>Alessandro</t>
    </r>
    <r>
      <rPr>
        <rFont val="Times New Roman"/>
        <color rgb="FF000000"/>
        <sz val="11.0"/>
      </rPr>
      <t xml:space="preserve"> </t>
    </r>
    <r>
      <rPr>
        <rFont val="Times New Roman"/>
        <color rgb="FF000000"/>
        <sz val="11.0"/>
      </rPr>
      <t>Bozzon</t>
    </r>
  </si>
  <si>
    <t>Learning to operate a complex system, such as an agile production line, can be a daunting task. The high variability in products and frequent reconfigurations make it difficult to keep documentation up-to-date and share new knowledge amongst factory workers. We introduce CLAICA, a Continuously Learning AI Cognitive Assistant that supports workers in the aforementioned scenario. CLAICA learns from (experienced) workers, formalizes new knowledge, stores it in a knowledge base, along with contextual information, and shares it when relevant. We conducted a user study with 83 participants who performed eight knowledge exchange tasks with CLAICA, completed a survey, and provided qualitative feedback. Our results provide a deeper understanding of how prior training, context expertise, and interaction modality affect the user experience of cognitive assistants. We draw on our results to elicit design and evaluation guidelines for cognitive assistants that support knowledge exchange in fast-paced and demanding environments, such as an agile production line.</t>
  </si>
  <si>
    <t>https://doi.org/10.1145/3581641.3584042</t>
  </si>
  <si>
    <t>A systematic review of online personalized systems for the autonomous learning of people with cognitive disabilities</t>
  </si>
  <si>
    <t>Hocine, N., &amp; Sehaba, K.</t>
  </si>
  <si>
    <t>A lack of access to learning opportunities is among the main reasons for social exclusion of people with cognitive disabilities in the professional field. It has been accentuated in the last few years by the rapid development of online learning strategies that limit the physical presence of students and instructors. Personalized systems can help overcome access barriers in learning for people with disabilities by helping them learn autonomously without the direct intervention of tutors. However, despite the wide range of research initiatives in this area to deal with individual differences, learners with cognitive disabilities still suffer from a lack of consideration of their conditions. Indeed, most e-learning platforms have been designed without taking into account users with multiple profiles and impairments. This paper systematically reviewed papers to provide insights about personalization within e-learning systems. We highlight personalization goals and approaches and review whether they improve learning accessibility and outcomes. The objective is to discuss the strengths and weaknesses of current research and suggest some opportunities to improve research in personalized e-learning systems for people with cognitive disabilities.</t>
  </si>
  <si>
    <t>Taylor and Francis</t>
  </si>
  <si>
    <t>https://doi.org/10.1080/07370024.2023.2242364</t>
  </si>
  <si>
    <t>Navigating cognitive boundaries: the impact of CognifyNet AI-powered educational analytics on student improvement</t>
  </si>
  <si>
    <t>Mrim M. Alnfiai,Faiz Abdullah Alotaibi,Mona Mohammed Alnahari,</t>
  </si>
  <si>
    <t>Modern educational systems increasingly demand sophisticated analytical tools to assess and enhance student performance through personalized learning approaches. Yet, educational analytics models often lack comprehensive integration of behavioural, cognitive, and emotional insights, limiting their predictive accuracy and real-world applicability. While traditional machine learning approaches such as random forest and neural networks have been applied to educational data, they typically present trade-offs between interpretability and predictive capability, failing to capture student learning processes’ complex, multidimensional nature. This research introduces CognifyNet, a novel hybrid AI-driven educational analytics model that combines ensemble learning principles with deep neural network architectures to analyse student behaviours, cognitive patterns, and engagement levels through an innovative two-stage fusion mechanism. The model integrates random forest decision-making with multi-layer perceptron feature learning, incorporating sentiment analysis and advanced data processing pipelines to generate personalized learning trajectories while maintaining model transparency. Evaluated through rigorous 5-fold cross-validation on a comprehensive dataset of 1200 anonymized student records and validated across multiple educational platforms, including UCI Student Performance and Open University Learning Analytics datasets, CognifyNet demonstrates superior performance over conventional approaches, achieving 10.5% reduction in mean squared error and 83% reduction in mean absolute error compared to baseline random forest models, with statistical significance confirmed through paired t-tests (p &lt; 0.01). The model’s adaptive architecture incorporates bias mitigation mechanisms that reduce demographic parity differences from 18% to 7% while maintaining predictive accuracy, ensuring equitable analytics across diverse student populations. These findings establish CognifyNet as a transformative tool for data-informed, student-centred educational strategies, offering educators actionable insights for early intervention and personalized support while bridging the critical gap between artificial intelligence capabilities and practical educational implementation.</t>
  </si>
  <si>
    <t>Nature</t>
  </si>
  <si>
    <t>https://doi.org/10.1057/s41599-025-05187-y</t>
  </si>
  <si>
    <t>Cognitive Disabilities and Accessibility - Pushing the Boundaries of Inclusion Using Digital Technologies and Accessible eLearning Environments</t>
  </si>
  <si>
    <t>Dirks, S., Bühler, C., Edler, C., Miesenberger, K., Heumader, P.</t>
  </si>
  <si>
    <t>The aim of this session is to bring together researchers and developers who are engaged in the development and evaluation of digital technologies and e-learning environments to improve the conditions for social participation of people with cognitive disabilities and learning difficulties of all ages in all areas of life. In this session ideas, visions and projects for research, development and evaluation on the following topics will be presented and discussed: Digital technologies for people with cognitive disabilities, cognitive accessibility of everyday technologies and eLearning environments, eLearning environments for learners with learning difficulties (accessible MOOCs, LMS, VLEs), digital support systems for people with dementia and use of Augmented Reality, Virtual Reality or gaming elements in digital technologies for people with learning disabilities. The introduction integrates the different topics into the broader context of digital inclusion of people with cognitive disabilities. Even though much has improved in recent decades, there are still technological, structural and attitudinal characteristics that make it difficult for this target group to fully participate in society. Digital technologies and modern learning environments, if cognitively accessible, offer the possibility of overcoming barriers and enable people with cognitive disabilities to participate more actively in all areas of life.</t>
  </si>
  <si>
    <t>https://doi.org/10.1007/978-3-030-58805-2_6</t>
  </si>
  <si>
    <t>Conference Paper</t>
  </si>
  <si>
    <t>Thinking Through AI: Advancing Cognitive andCollaborative Research for AI in Education</t>
  </si>
  <si>
    <t>Anastasia Olga Tzirides,Michele Galla, Bill Copes</t>
  </si>
  <si>
    <t>This paper introduces the "Thinking Through AI" framework, an innovative methodologicalapproach designed to explore and enhance cognitive and collaborative processes in educational settingsmediated by artificial intelligence (AI). Based on a synthesis of cognitive labs, think-aloud protocols, andcyber-social research methods, the framework addresses key methodological challenges in studying AI'srole in education. The framework emphasizes three core dimensions: (1) students’ cognitive engagementwith AI, fostering their ability to achieve learning objectives while simultaneously improving AI systemsthrough interactive feedback; (2) educators’ pedagogical strategies, integrating rubrics and knowledgebases to design AI tools tailored to student needs; and (3) the concurrent design of AI tools and learningexperiences, informed by think-aloud and cognitive labs as part of Learning Experience Research (LXR). Tosupport and exemplify this framework, the study integrates data from the implementation of the CGScholarAI Helper at a rural Alaska school involving 30 students. This implementation provides empirical insightsinto how AI-enabled tools can enhance writing instruction in middle school classrooms, emphasizing thepractical application and refinement of the framework. This approach redefines the intersection of userexperience and educational design in the AI era, positioning educators, learners, and developers as co-creators in the design process. By enabling educators to actively contribute to AI tool creation, theframework bridges pedagogical practices with AI advancements, ensuring tools align with diverse learningobjectives and teaching methodologies. This paper highlights the transformative potential of collaborativemethodologies, offering a practical and theoretical contribution to advancing AI's role in education.</t>
  </si>
  <si>
    <t>DOI: 10.35542/osf.io/s8hqe</t>
  </si>
  <si>
    <t>AI Chatbots and Cognitive Control: Enhancing Executive Functions Through Chatbot Interactions: A Systematic Review</t>
  </si>
  <si>
    <t xml:space="preserve">Pantelis Pergantis ,Victoria Bamicha ,Charalampos Skianis </t>
  </si>
  <si>
    <t>The evolution of digital technology enhances the broadening of a person’s intellectual growth. Research points out that implementing innovative applications of the digital world improves human social, cognitive, and metacognitive behavior. Artificial intelligence chatbots are yet another innovative human-made construct. These are forms of software that simulate human conversation, understand and process user input, and provide personalized responses. Executive function includes a set of higher mental processes necessary for formulating, planning, and achieving a goal. The present study aims to investigate executive function reinforcement through artificial intelligence chatbots, outlining potentials, limitations, and future research suggestions. Specifically, the study examined three research questions: the use of conversational chatbots in executive functioning training, their impact on executive-cognitive skills, and the duration of any improvements. Methods: The assessment of the existing literature was implemented using the systematic review method, according to the PRISMA 2020 Principles. The avalanche search method was employed to conduct a source search in the following databases: Scopus, Web of Science, PubMed, and complementary Google Scholar. This systematic review included studies from 2021 to the present using experimental, observational, or mixed methods. It included studies using AI-based chatbots or conversationalists to support executive functions, such as anxiety, stress, depression, memory, attention, cognitive load, and behavioral changes. In addition, this study included general populations with specific neurological conditions, all peer-reviewed, written in English, and with full-text access. However, the study excluded studies before 2021, the literature reviews, systematic reviews, non-AI-based chatbots or conversationalists, studies not targeting the range of executive skills and abilities, studies not written in English, and studies without open access. The criteria aligned with the study objectives, ensuring a focus on AI chatbots and the impact of conversational agents on executive function. The initial collection totaled n = 115 articles; however, the eligibility requirements led to the final selection of n = 10 studies. Results: The findings of the studies suggested positive effects of using AI chatbots to enhance and improve executive skills. Although, several limitations were identified, making it still difficult to generalize and reproduce their effects. Conclusions: AI chatbots are an innovative artificial intelligence tool that can function as a digital assistant for learning and expanding executive skills, contributing to the cognitive, metacognitive, and social development of the individual. However, its use in executive skills training is at a primary stage. The findings highlighted the need for a unified framework for reference and future studies, better study designs, diverse populations, larger sample sizes of participants, and longitudinal studies that observe the long-term effects of their use.</t>
  </si>
  <si>
    <t>https://doi.org/10.3390/brainsci15010047</t>
  </si>
  <si>
    <t>Generative Artificial Intelligence inHigher Education: A Handbook forEducational Leaders</t>
  </si>
  <si>
    <t>K. Pushpanadham, Norazah Nordin, &amp;Helmi Norman</t>
  </si>
  <si>
    <t>Preface - In recent years, the landscape of higher education has undergone a profound transformation, largelyfueled by advancements in technology. Among these advancements, Artificial Intelligence (AI) standsout as a potent force, promising to revolutionize various aspects of teaching, learning, and administrationwithin academic institutions. This book, “Generative AI in Higher Education: A Handbook forEducational Leaders.”As editors, it is our pleasure to introduce this collection of insightful chapters authored by esteemedscholars and practitioners from around the globe. This collaborative effort, coordinated under theauspices of the eASEM Research Network, reflects a shared commitment to exploring the intersectionof AI and higher education. In an era defined by rapid technological advancement, the integration of AIinto higher education represents both an opportunity and a challenge. This handbook, curated by theeASEM Research Network, aims to equip educational leaders with the knowledge and insights necessaryto navigate this dynamic landscape effectively and delves into the realm of AI and its multifacetedapplications within the educational sphere.</t>
  </si>
  <si>
    <t>https://www.researchgate.net/profile/Helmi-Norman/publication/392666586_Generative_Artificial_Intelligence_in_Higher_Education_A_Handbook_for_Educational_Leaders/links/684cf40fdf3fa4286a40af16/Generative-Artificial-Intelligence-in-Higher-Education-A-Handbook-for-Educational-Leaders.pdf#page=59</t>
  </si>
  <si>
    <t>Handbook</t>
  </si>
  <si>
    <t>Readability-based sentence ranking for evaluating text simplification</t>
  </si>
  <si>
    <t>S Vajjala, D Meurers</t>
  </si>
  <si>
    <t>We propose a new method for evaluating the readability of simplified sentences through pair-wise ranking. The validity of the method is established through in-corpus and cross-corpus evaluation experiments. The approach correctly identifies the ranking of simplified and unsimplified sentences in terms of their reading level with an accuracy of over 80%, significantly outperforming previous results. To gain qualitative insights into the nature of simplification at the sentence level, we studied the impact of specific linguistic features. We empirically confirm that both word-level and syntactic features play a role in comparing the degree of simplification of authentic data. To carry out this research, we created a new sentence-aligned corpus from professionally simplified news articles. The new corpus resource enriches the empirical basis of sentence-level simplification research, which so far relied on a single resource. Most importantly, it facilitates cross-corpus evaluation for simplification, a key step towards generalizable results.</t>
  </si>
  <si>
    <t>Arxiv</t>
  </si>
  <si>
    <t>https://doi.org/10.48550/Arxiv.1603.06009</t>
  </si>
  <si>
    <t>Technical Report</t>
  </si>
  <si>
    <t>Low resource Indic sentence simplification readability enhancement</t>
  </si>
  <si>
    <t>Analysing zero-shot readability-controlled sentence simplification</t>
  </si>
  <si>
    <t>A Barayan, J Camacho-Collados</t>
  </si>
  <si>
    <t>Readability-controlled text simplification (RCTS) rewrites texts to lower readability levels while preserving their meaning. RCTS models often depend on parallel corpora with readability annotations on both source and target sides. Such datasets are scarce and difficult to curate, especially at the sentence level. To reduce reliance on parallel data, instruction-tuned large language models are explored for zero-shot RCTS. Evaluations examine how contextual information affects a model’s ability to generate sentences with desired readability and the trade-off between target readability and meaning preservation. Results show models struggle to simplify sentences, especially to the lowest levels, due to model limitations and source sentence characteristics. The experiments highlight the need for better automatic evaluation metrics tailored to RCTS, as standard ones often misinterpret simplification operations and inaccurately assess readability and meaning preservation.</t>
  </si>
  <si>
    <t>https://doi.org/10.48550/Arxiv.2409.20246</t>
  </si>
  <si>
    <t>Readability assessment for text simplification</t>
  </si>
  <si>
    <t>Sandra Aluisio, Lucia Specia, Caroline Gasperin and Carolina Scarton</t>
  </si>
  <si>
    <t>We describe a readability assessment approach to support the process of text simplification for poor literacy readers. Given an input text, the goal is to predict its readability level, which corresponds to the literacy level expected from the target reader: rudimentary, basic or advanced. The approach complements traditional readability features with new features and experiments with machine learning methods including classification, regression, and ranking. The best performing model is embedded in an authoring tool for Text Simplification to guide authors in producing text at the appropriate complexity level for the reader.</t>
  </si>
  <si>
    <t>https://aclanthology.org/W10-1001.pdf</t>
  </si>
  <si>
    <t>Assessing the readability of sentences: which corpora and features?</t>
  </si>
  <si>
    <t>F Dell'Orletta</t>
  </si>
  <si>
    <t>The paper investigates the problem of sentence readability assessment as a classification task focused on text simplification. It addresses two key issues: selecting corpora for training and identifying the most effective features for sentence readability. Using an Italian readability tool, the model was specialized by choosing the training corpus and learning algorithm. Feature selection utilized a maximum entropy-based grafting algorithm to rank features, revealing that assessing sentence readability requires numerous features, mainly syntactic ones. The study highlights the complexity of sentence readability involving many syntactic features for accurate classification.</t>
  </si>
  <si>
    <t>http://dx.doi.org/10.3115/v1/W14-1820</t>
  </si>
  <si>
    <t>Multilingual low resource Indian language speech recognition and spell correction using Indic BERT</t>
  </si>
  <si>
    <t>MCS Priya, DK Renuka, LA Kumar, SL Rose</t>
  </si>
  <si>
    <t>India is a land of unity; it is home to 122 major languages and 1599 other languages. Around 70% of people in India speak Indo-Aryan languages whereas 19% speak Dravidian languages which are agglutinative morphologically rich. Speech is a lucid, time-saving, and effortless means of communication. Automatic speech recognition (ASR) is a process that accurately transcribes spoken utterances into text. Speech recognition in Indian languages will empower people to easily access their regional language to any content they desire. The ultimate goal of this proposed work is to develop a novel deep sequence modeling-based ASR system with improved spell corrector for seven low-resource languages. The efficacy of our proposed model is evaluated using word error rate (WER) and sequence match ratio. The end-to-end ASR system based on a recurrent neural network-gated recurrent unit (RNN-GRU) achieves plausible results with average WER of 0.62. Indeed, one of the key concerns in the ASR system is spelling errors in transcribed text. Despite the intricacy involved in spell correction of Natural Language Processing, the transformer-based INDIC Bidirectional Encoder Representations from Transformers language model yields a significant improvement in performance by 10% and reduces the average WER to 0.52.</t>
  </si>
  <si>
    <t>https://doi.org/10.1007/s12046-022-01973-5</t>
  </si>
  <si>
    <t>Context-aware automatic text simplification of health materials in low-resource domains</t>
  </si>
  <si>
    <t>Tarek Sakakini, Jong Yoon Lee, Aditya Duri, Renato F.L. Azevedo, Victor Sadauskas, Kuangxiao Gu, Suma Bhat, Dan Morrow, James Graumlich, Saqib Walayat, Mark Hasegawa-Johnson, Thomas Huang, Ann Willemsen-Dunlap, and Donald Halpin</t>
  </si>
  <si>
    <t>Healthcare systems have increased patients’ exposure to their own health materials to enhance patients’ health levels, but this has been impeded by patients’ lack of understanding of their health material. We address potential barriers to their comprehension by developing a context-aware text simplification system for health material. Given the scarcity of annotated parallel corpora in healthcare domains, we design our system to be independent of a parallel corpus, complementing the availability of data-driven neural methods when such corpora are available. Our system compensates for the lack of direct supervision using a biomedical lexical database: Unified Medical Language System (UMLS). Compared to a competitive prior approach that uses a tool for identifying biomedical concepts and a consumer-directed vocabulary list, we empirically show the enhanced accuracy of our system due to improved handling of ambiguous terms. We also show the enhanced accuracy of our system over directly-supervised neural methods in this low-resource setting. Finally, we show the direct impact of our system on laypeople’s comprehension of health material via a human subjects’ study (n=160).</t>
  </si>
  <si>
    <t>https://doi.org/10.18653/v1/2020.louhi-1.13</t>
  </si>
  <si>
    <t>Low resource Indic text simplification</t>
  </si>
  <si>
    <t>To simplify or not? Facilitating English L2 users' comprehension and processing of open educational resources in English using text simplification</t>
  </si>
  <si>
    <t>Irina Rets</t>
  </si>
  <si>
    <t>Open Educational Resources (OER) aim to provide equal access to education. Yet, as the language level used in OER presents a barrier to many learners, there is a need to make these resources more comprehensible. This study combined eye-tracking methodology and comprehension assessment to explore the effect of text simplification on English second language (L2) users, while also accounting for text organizational structure and individual predispositions. A total of 37 adult English L2 users took part in the study. They had to read either an authentic narrative, authentic expository OER or their linguistically simplified versions. The analysis showed that simplification led to better text comprehension, and text narrativity facilitated text recall, particularly at lower English proficiency levels. Eye-tracking measures revealed that text simplification led to an increase in processing time during the initial reading of the text and a decrease in processing time during text re-inspection. These findings have strong practical applications for online teaching with OER.</t>
  </si>
  <si>
    <t>Journal of Computer Assisted Learning</t>
  </si>
  <si>
    <t>https://doi.org/10.1111/jcal.12517</t>
  </si>
  <si>
    <t>Automated text simplification: a survey</t>
  </si>
  <si>
    <r>
      <rPr>
        <rFont val="Times New Roman"/>
        <color rgb="FF000000"/>
        <sz val="11.0"/>
      </rPr>
      <t>Suha S.</t>
    </r>
    <r>
      <rPr>
        <rFont val="Times New Roman"/>
        <color rgb="FF000000"/>
        <sz val="11.0"/>
      </rPr>
      <t xml:space="preserve"> </t>
    </r>
    <r>
      <rPr>
        <rFont val="Times New Roman"/>
        <color rgb="FF000000"/>
        <sz val="11.0"/>
      </rPr>
      <t>Al-Thanyyan</t>
    </r>
    <r>
      <rPr>
        <rFont val="Times New Roman"/>
        <color rgb="FF6B6B6B"/>
        <sz val="11.0"/>
      </rPr>
      <t xml:space="preserve">, </t>
    </r>
    <r>
      <rPr>
        <rFont val="Times New Roman"/>
        <color rgb="FF000000"/>
        <sz val="11.0"/>
      </rPr>
      <t>Aqil M.</t>
    </r>
    <r>
      <rPr>
        <rFont val="Times New Roman"/>
        <color rgb="FF000000"/>
        <sz val="11.0"/>
      </rPr>
      <t xml:space="preserve"> </t>
    </r>
    <r>
      <rPr>
        <rFont val="Times New Roman"/>
        <color rgb="FF000000"/>
        <sz val="11.0"/>
      </rPr>
      <t>Azmi</t>
    </r>
  </si>
  <si>
    <t>Text simplification (TS) reduces the complexity of the text to improve its readability and understandability, while possibly retaining its original information content. Over time, TS has become an essential tool in helping those with low literacy levels, non-native learners, and those struggling with various types of reading comprehension problems. In addition, it is used in a preprocessing stage to enhance other NLP tasks. This survey presents an extensive study of current research studies in the field of TS, as well as covering resources, corpora, and evaluation methods that have been used in those studies.</t>
  </si>
  <si>
    <t>https://doi.org/10.1145/3442695</t>
  </si>
  <si>
    <t>SiTSE: Sinhala Text Simplification Dataset and Evaluation</t>
  </si>
  <si>
    <r>
      <rPr>
        <rFont val="Times New Roman"/>
        <color rgb="FF000000"/>
        <sz val="11.0"/>
      </rPr>
      <t>Surangika Ranathunga</t>
    </r>
    <r>
      <rPr>
        <rFont val="Times New Roman"/>
        <color rgb="FF000000"/>
        <sz val="11.0"/>
      </rPr>
      <t xml:space="preserve">, </t>
    </r>
    <r>
      <rPr>
        <rFont val="Times New Roman"/>
        <color rgb="FF000000"/>
        <sz val="11.0"/>
      </rPr>
      <t>Rumesh Sirithunga</t>
    </r>
    <r>
      <rPr>
        <rFont val="Times New Roman"/>
        <color rgb="FF000000"/>
        <sz val="11.0"/>
      </rPr>
      <t xml:space="preserve">, </t>
    </r>
    <r>
      <rPr>
        <rFont val="Times New Roman"/>
        <color rgb="FF000000"/>
        <sz val="11.0"/>
      </rPr>
      <t>Himashi Rathnayake</t>
    </r>
    <r>
      <rPr>
        <rFont val="Times New Roman"/>
        <color rgb="FF000000"/>
        <sz val="11.0"/>
      </rPr>
      <t xml:space="preserve">, </t>
    </r>
    <r>
      <rPr>
        <rFont val="Times New Roman"/>
        <color rgb="FF000000"/>
        <sz val="11.0"/>
      </rPr>
      <t>Lahiru De Silva</t>
    </r>
    <r>
      <rPr>
        <rFont val="Times New Roman"/>
        <color rgb="FF000000"/>
        <sz val="11.0"/>
      </rPr>
      <t xml:space="preserve">, </t>
    </r>
    <r>
      <rPr>
        <rFont val="Times New Roman"/>
        <color rgb="FF000000"/>
        <sz val="11.0"/>
      </rPr>
      <t>Thamindu Aluthwala</t>
    </r>
    <r>
      <rPr>
        <rFont val="Times New Roman"/>
        <color rgb="FF000000"/>
        <sz val="11.0"/>
      </rPr>
      <t xml:space="preserve">, </t>
    </r>
    <r>
      <rPr>
        <rFont val="Times New Roman"/>
        <color rgb="FF000000"/>
        <sz val="11.0"/>
      </rPr>
      <t>Saman Peramuna</t>
    </r>
    <r>
      <rPr>
        <rFont val="Times New Roman"/>
        <color rgb="FF000000"/>
        <sz val="11.0"/>
      </rPr>
      <t xml:space="preserve">, </t>
    </r>
    <r>
      <rPr>
        <rFont val="Times New Roman"/>
        <color rgb="FF000000"/>
        <sz val="11.0"/>
      </rPr>
      <t>Ravi Shekhar</t>
    </r>
  </si>
  <si>
    <t>Text Simplification is a task that has been minimally explored for low-resource languages. Consequently, there are only a few manually curated datasets. In this paper, we present a human curated sentence-level text simplification dataset for the Sinhala language. Our evaluation dataset contains 1,000 complex sentences and corresponding 3,000 simplified sentences produced by three different human annotators. We model the text simplification task as a zero-shot and zero resource sequence-to-sequence (seq-seq) task on the multilingual language models mT5 and mBART. We exploit auxiliary data from related seq-seq tasks and explore the possibility of using intermediate task transfer learning (ITTL). Our analysis shows that ITTL outperforms the previously proposed zero-resource methods for text simplification. Our findings also highlight the challenges in evaluating text simplification systems, and support the calls for improved metrics for measuring the quality of automated text simplification systems that would suit low-resource languages as well. Our code and data are publicly available:</t>
  </si>
  <si>
    <t xml:space="preserve">ACM </t>
  </si>
  <si>
    <t>https://arxiv.org/abs/2412.01293</t>
  </si>
  <si>
    <t>Facilita: reading assistance for low-literacy readers</t>
  </si>
  <si>
    <t>Willian Massami Watanabe, Arnaldo Candido Junior, Vinícius Rodriguez Uzêda, Renata Pontin de Mattos Fortes, Thiago Alexandre Salgueiro Pardo, and Sandra Maria Aluísio</t>
  </si>
  <si>
    <t>Texts are the media content primarily available on Web sites and applications. However, this heavy use of texts creates an accessibility barrier to those who cannot read fluently in their mother tongue due to both text length and linguistic complexity. To offer an accessible alternative to these readers, shorter and simplified versions of text content should be provided. Taking that into consideration, this paper introduces Facilita, an assistive technology to help lower-literacy users to understand the text content of Web applications. Facilita generates an accessible content from Web pages automatically, using summarization and simplification techniques. It is also important to consider interface design requirements, since Facilita's target audience (the functionally illiterate) is often classified as computer illiterate as well. Thus, interaction and user interface design were developed considering the limitations and skills of the functionally illiterate.</t>
  </si>
  <si>
    <t>https://doi.org/10.1145/1621995.1622002</t>
  </si>
  <si>
    <t>Efficient Data Augmentation via lexical matching for boosting performance on Statistical Machine Translation for Indic and a Low-resource language</t>
  </si>
  <si>
    <t>Saxena, S., Gupta, A. &amp; Daniel, P.</t>
  </si>
  <si>
    <t>This work proposes a novel lexical-based matching data augmentation technique to improve Machine Translation quality for resource-rich Indic languages, achieving significant gains in BLEU, METEOR, and ROUGE scores compared to baseline systems.</t>
  </si>
  <si>
    <t>https://doi.org/10.1007/s11042-023-18086-8</t>
  </si>
  <si>
    <t>Printed ocr for extremely low-resource indic languages</t>
  </si>
  <si>
    <t>Alik Sarkar, Ajoy Mondal, Gurpreet Singh Lehal, and C. V. Jawahar</t>
  </si>
  <si>
    <t>This study introduces Mozhi-LR(S) and Mozhi-LR(R) datasets for nine extremely low-resource Indian languages and develops OCR models trained on synthetic data and fine-tuned on real data, achieving high accuracy and providing APIs and web applications to aid the digitization of Indic printed documents.</t>
  </si>
  <si>
    <t>https://cdn.iiit.ac.in/cdn/cvit.iiit.ac.in/images/ConferencePapers/2024/Printed-OCR-for-Extremely-Low-resource-Indic-Languages.pdf</t>
  </si>
  <si>
    <t>TamilNLP: low resource language processing</t>
  </si>
  <si>
    <t>Singh, Himanshu; Shah, Rajiv Ratn</t>
  </si>
  <si>
    <t>In this paper, we worked on different aspects like dataset, annotation guidelines, annotation platform, and models to build a complete eco-system, aimed at making significant contributions towards NLP for the Tamil language. We focused on researching about morpho-syntactic relations in the Tamil text. A more diverse dataset was curated from 5 sources to form a treebank of 10,000 CoNLL-U format annotated sentences. Detailed annotation guidelines were developed for guiding the annotators and the users. We proposed hierarchical tag sets for POS and NER tasks, after testing various available tag sets for the Tamil language. To carry out the CoNLL-U format annotations efficiently, we introduce CoNLL-U GSheets. This annotation platform uses the highly accessible and easy-to-use Google sheets and equips it with all the necessary tools for annotations. The research also focused on developing the pipeline and the models for each task in the morpho-syntactic analysis. We have addresed the language-specific issues for each task in the morpho-syntactic analysis. We also took design decisions that promote flexibility in applications and assist in later NLP tasks.</t>
  </si>
  <si>
    <t>https://repository.iiitd.edu.in/xmlui/handle/123456789/1090</t>
  </si>
  <si>
    <t>There is plenty of room at the bottom: challenges &amp; opportunities in low-resource non-standardized language varieties</t>
  </si>
  <si>
    <t>Apeli Noemi</t>
  </si>
  <si>
    <t>-</t>
  </si>
  <si>
    <t>https://www.zora.uzh.ch/entities/publication/ff53018e-dcc0-4501-93b7-2dcd65ac7353</t>
  </si>
  <si>
    <t>Preprint</t>
  </si>
  <si>
    <t>A2TTS: TTS for Low Resource Indian Languages</t>
  </si>
  <si>
    <t>['AS Bhadoriya', 'AN Shinde', 'I Pandey']</t>
  </si>
  <si>
    <t>team for providing the compute resources that enabled this research. Special thanks to  the broader AI4Bharat initiative and the teams behind IndicSUPERB and IndicTTS, whose</t>
  </si>
  <si>
    <t xml:space="preserve">Arxiv </t>
  </si>
  <si>
    <t>[2507.15272] A2TTS: TTS for Low Resource Indian Languages</t>
  </si>
  <si>
    <t>preprint</t>
  </si>
  <si>
    <t>Low resource Indic TTS</t>
  </si>
  <si>
    <t>Advancing Text-to-Speech Systems for Low-Resource Languages: Challenges, Innovations, and Future Directions</t>
  </si>
  <si>
    <t>['S Bhushan', 'VP Mishra', 'V Rishiwal', 'S Arunkumar']</t>
  </si>
  <si>
    <t>and their uses in improving TTS systems for low-resource circumstances. Augmentation  techniques increase the resilience and generalizability of TTS models by creating synthetic</t>
  </si>
  <si>
    <t>https://ieeexplore.ieee.org/abstract/document/11146779/</t>
  </si>
  <si>
    <t>Lrspeech: Extremely low-resource speech synthesis and recognition</t>
  </si>
  <si>
    <t>['J Xu', 'X Tan', 'Y Ren', 'T Qin', 'J Li', 'S Zhao']</t>
  </si>
  <si>
    <t>when building TTS and ASR systems for extremely lowresource languages. In this paper,  we develop LRSpeech, a TTS and ASR system under the extremely low-resource setting,</t>
  </si>
  <si>
    <t>https://dl.acm.org/doi/abs/10.1145/3394486.3403331</t>
  </si>
  <si>
    <t>TTS for low resource languages: A Bangla synthesizer</t>
  </si>
  <si>
    <t>['A Gutkin', 'L Ha', 'M Jansche']</t>
  </si>
  <si>
    <t>We present a text-to-speech (TTS) system designed  for streamlining the bootstrapping  of TTS systems for under- that show that the resulting TTS voices score well in terms of</t>
  </si>
  <si>
    <t>https://aclanthology.org/L16-1317/</t>
  </si>
  <si>
    <t>Indicvoices-r: Unlocking a massive multilingual multi-speaker speech corpus for scaling indian TTS</t>
  </si>
  <si>
    <t>['A Sankar', 'S Anand', 'P Varadhan']</t>
  </si>
  <si>
    <t>TTS data from online public sources such as YouTube. However given the low resource   of IndicVoices-R with other popular TTS datasets, both English datasets and Indic datasets.</t>
  </si>
  <si>
    <t>https://proceedings.neurips.cc/paper_files/paper/2024/hash/7dfcaf4512bbf2a807a783b90afb6c09-Abstract-Datasets_and_Benchmarks_Track.html</t>
  </si>
  <si>
    <t>Indic-ST: A Large-Scale Multilingual Corpus for Low-Resource Speech-to-Text Translation</t>
  </si>
  <si>
    <t>['N Sethiya', 'S Nair', 'P Walia', 'C Maurya']</t>
  </si>
  <si>
    <t>of the largest low-resource ST dataset for Indic languages. â€¢ English transcripts and parallel  sentences in Indic languages  This section will review lowresource ST models and datasets.</t>
  </si>
  <si>
    <t>https://dl.acm.org/doi/abs/10.1145/3736720</t>
  </si>
  <si>
    <t>ELAICHI: Enhancing Low-resource TTS by Addressing Infrequent and Low-frequency Character Bigrams</t>
  </si>
  <si>
    <t>['S Anand', 'PS Varadhan', 'M Singal']</t>
  </si>
  <si>
    <t>can serve as a foundation for improving TTS systems in other low-resource languages.   Exploring the role of language families for building indic speech synthesisers. IEEE/ACM</t>
  </si>
  <si>
    <t>https://Arxiv.org/abs/2410.17901</t>
  </si>
  <si>
    <t>BnTTS: Few-Shot Speaker Adaptation in Low-Resource Setting</t>
  </si>
  <si>
    <t>['MJI Basher', 'M Kowsher', 'MS Islam', 'RN Nandi']</t>
  </si>
  <si>
    <t>This paper introduces BnTTS (Bangla Text-ToSpeech), the  synthesis have contributed to  Indic-TTS systems. Prakash and  TTS system designed for low-resource speaker adaptation.</t>
  </si>
  <si>
    <t>https://Arxiv.org/abs/2502.05729</t>
  </si>
  <si>
    <t>Building TTS systems for low resource languages under resource constraints</t>
  </si>
  <si>
    <t>['P Ogayo', 'G Neubig', 'AW Black']</t>
  </si>
  <si>
    <t>ubiquitous for high resource languages. However, support for low resource languages is  limited by the lack of data. This project aims to democratize text-to-speech systems and</t>
  </si>
  <si>
    <t>https://s4sg-workshop.github.io/assets/papers/1.3.pdf</t>
  </si>
  <si>
    <t>conference paper</t>
  </si>
  <si>
    <t>Building Textâ€_x0090_toâ€_x0090_Speech Models for Lowâ€_x0090_Resourced Languages From Crowdsourced Data</t>
  </si>
  <si>
    <t>['A Katumba', 'S Kagumire']</t>
  </si>
  <si>
    <t>multiple speakers can build TTS models that produce natural- TTS models for Luganda and  Kiswahili, two indigenous, low- TTS models and large amounts of high-quality TTS corpora.</t>
  </si>
  <si>
    <t>https://onlinelibrary.wiley.com/doi/abs/10.1002/ail2.117</t>
  </si>
  <si>
    <t>Dyslexia-Friendly Type Design for Indian Vernacular Languages</t>
  </si>
  <si>
    <t>Biswas, N., Mishra, B., Gupta, R.</t>
  </si>
  <si>
    <t>This work presents a novel type design for Indic script-based Hindi and Bengali languages, which are derived from the Brahmi Script and share some similarities in their structure and characters. Despite the increasing prevalence of dyslexia, there is a notable lack of research and literature addressing the unique challenges faced by dyslexic learners in the context of Indic scripts. Hence, this work also lays the groundwork in addressing the gap in the literature by exploring how typefaces can be optimized for the diverse needs of underrepresented languages, thereby proposing a set of guidelines for creating dyslexia-inclusive typefaces for Indian languages, particularly Hindi and Bengali, focusing on aspects unique to these scripts. A preliminary user evaluation of the fonts suggested improved accuracy, ease of reading, and overall preference over the standard fonts used.</t>
  </si>
  <si>
    <t>https://link.springer.com/chapter/10.1007/978-3-031-93864-1_22</t>
  </si>
  <si>
    <t>Cognitive accessibility natural language processing text simplification indic languages</t>
  </si>
  <si>
    <t>Speed Reading Tool Powered by Artificial Intelligence for Students with ADHD, Dyslexia, or Short Attention Span</t>
  </si>
  <si>
    <t>Megat Irfan Zackry Bin Ismail Ahmad Nazran bin Yusri Muhammad Hafizzul Bin Abdul Manap Muhammad Muizzuddin Bin Kamarozaman</t>
  </si>
  <si>
    <t>This paper presents a novel approach to assist students with dyslexia, ADHD, and short attention span in digesting any text-based information more efficiently. The proposed solution utilizes the Multilayer Perceptron (MLP) algorithm for complex text processing and summarization tasks. The tool leverages the T5 (Text-to-Text Transfer Transformer) model from Hugging Face, which treats every NLP task as a text generation task. The model is fine-tuned on specific tasks using a smaller dataset. The NLTK's Punkt Sentence Tokenizer is used to divide a text into a list of sentences. The application is served using Flask, a lightweight web server and framework. The tool also applies principles from Bionic Reading to enhance readability, which includes a bolding function and adjustments to line, word, and character spacing. The paper discusses the methodology, implementation, and results of the AI-based speed reading tool.</t>
  </si>
  <si>
    <t>https://Arxiv.org/abs/2307.14544</t>
  </si>
  <si>
    <t>Let AI Read First: Enhancing Reading Abilities for Individuals with Dyslexia through Artificial Intelligence</t>
  </si>
  <si>
    <t>Zhao, Sihang and Xiong, Shoucong Carol and Pang, Bo and Tang, Xiaoying and He, Pinjia</t>
  </si>
  <si>
    <t>Dyslexia, a neurological condition affecting approximately 12% of the global population, presents significant challenges to reading ability and quality of life. Existing assistive technologies are limited by factors such as unsuitability for quiet environments, high costs, and the risk of distorting meaning or failing to provide realtime support. To address these issues, we introduce LARF (Let AI Read First), the first strategy that employs large language models to annotate text and enhance readability while preserving the original content. We evaluated LARF in a large-scale between-subjects experiment, involving 150 participants with dyslexia. The results show that LARF significantly improves reading performance and experience for individuals with dyslexia. Results also prove that
LARF is particularly helpful for participants with more severe reading difficulties. Furthermore, this work discusses potential research
directions opened up by LARF for the HCI community</t>
  </si>
  <si>
    <t>https://Arxiv.org/pdf/2504.00941</t>
  </si>
  <si>
    <t>A Hybrid Personalized Text Simplification Framework Leveraging the Deep Learning-based Transformer Model for Dyslexic Students</t>
  </si>
  <si>
    <t>Safura Adeela Sukiman, Nor Azura Husin, Hazlina Hamdan, Masrah Azrifah Azmi Murad</t>
  </si>
  <si>
    <t>This study proposes a hybrid personalized text simplification framework leveraging the deep learning-based Transformer model to generate simplified expository texts by addressing all sentence perspectives: semantic, syntactic, and lexical. This study targets dyslexicstudents due to its increasing population in the education context. Dyslexia is a learning disability characterized by reading deficiency and cognitive weakness. Thus, they need a more personalized learning experience i.e., personalized text simplification to support their classroom learning. Unfortunately, the current models of personalized text simplification can only address the syntactic and lexical perspectives of sentences, ignoring the semantic perspective. Other models employed text complexity classification at the beginning of the text simplification workflow with the intention to address the personalization element. Still, no mapping to the deficiencies of its intended users was made, and the semantic perspective of sentences remains under study. Therefore, this study is conducted to introduce hybrid methods to enhance the current personalization elements, as well as to accommodate generation of simplified expository texts at all sentence perspectives. An extensive literature was conducted using established online databases. The proposed hybrid framework is further divided into three distinct phases: Phase 1) two-phase personalization, Phase 2) multi-label text complexity classification, and Phase 3) explicit editing. It is expected that a successful implementation of the proposed hybrid personalized text simplification framework can accelerate the learning motivations of dyslexic students, hence increasing their academic achievements and reducing academic dropout rates</t>
  </si>
  <si>
    <t>SEMARAK ILMU</t>
  </si>
  <si>
    <t>https://semarakilmu.com.my/journals/index.php/applied_sciences_eng_tech/article/view/2003/2900</t>
  </si>
  <si>
    <t>Journal</t>
  </si>
  <si>
    <t>Automatic Text Summarization for Hindi Language using Word Embeddings: A Critical Review</t>
  </si>
  <si>
    <t>S. A. Khan, M. Mudasir and H. A. Khanday</t>
  </si>
  <si>
    <t>For languages with an abundance of resources like English, Chinese, Arabic, French, etc., a number of Automatic Text Summarization (ATS) techniques have been proposed. However, researchers relatively devoted minimal focus on lowresource languages such as Hindi and other regional languages of India. Taking into account that the Hindi language has limited resources available, Hindi ATS is a challenging task. The two key qualities of a useful summary are the ability to capture semantics and hidden relationships between the text units. In recent years, word embeddings have been used to capture text semantics. This review provides an in-depth examination of word embeddings by investigating conventional, contextual, cross-lingual, multilingual, and Indian language-specific models. In contrast to resourcerich languages, there are not many comprehensive datasets for the Hindi language. Most Hindi datasets are either very small for practical purposes or unavailable to the masses. This review also explores the effect of word embeddings on extractive and abstractive summarization approaches, emphasizing their performance on the Hindi corpus. Lastly, this comprehensive review highlights the open challenges, recent developments, and future research directions in the constantly evolving Hindi ATS field.</t>
  </si>
  <si>
    <t>https://ieeexplore.ieee.org/stamp/stamp.jsp?tp=&amp;arnumber=11086272</t>
  </si>
  <si>
    <t>text summarization in indic languages</t>
  </si>
  <si>
    <t>Implementing Deep Learning-Based Approaches for Article Summarization in Indian Languages</t>
  </si>
  <si>
    <t>Rahul Tangsali and Aabha Pingle and Aditya Vyawahare and Isha Joshi and Raviraj Joshi</t>
  </si>
  <si>
    <t>The research on text summarization for low-resource Indian languages has been limited due to the availability of relevant datasets. This paper presents a summary of various deep-learning approaches used for the ILSUM 2022 Indic language summarization datasets. The ISUM 2022 dataset consists of news articles written in Indian English, Hindi, and Gujarati respectively, and their ground-truth summarizations. In our work, we explore different pre-trained seq2seq models and fine-tune those with the ILSUM 2022 datasets. In our case, the fine-tuned SoTA PEGASUS model worked the best for English, the fine-tuned IndicBART model with augmented data for Hindi, and again fine-tuned PEGASUS model along with a translation mapping-based approach for Gujarati. Our scores on the obtained inferences were evaluated using ROUGE-1, ROUGE-2, and ROUGE-4 as the evaluation metrics.</t>
  </si>
  <si>
    <t>https://Arxiv.org/abs/2212.05702?utm_source=chatgpt.com</t>
  </si>
  <si>
    <t>IndicBART: A Pre-trained Model for Indic Natural Language Generation</t>
  </si>
  <si>
    <t>Dabre, Raj and Shrotriya, Himani and Kunchukuttan, Anoop and Puduppully, Ratish and Khapra, Mitesh and Kumar, Pratyush</t>
  </si>
  <si>
    <t>In this paper, we study pre-trained sequence-to-sequence models for a group of related languages, with a focus on Indic languages. We present IndicBART, a multilingual, sequence-to-sequence pre-trained model focusing on 11 Indic languages and English. IndicBART utilizes the orthographic similarity between Indic scripts to improve transfer learning between similar Indic languages. We evaluate IndicBART on two NLG tasks: Neural Machine Translation (NMT) and extreme summarization. Our experiments on NMT and extreme summarization show that a model specific to related languages like IndicBART is competitive with large pre-trained models like mBART50 despite being significantly smaller. It also performs well on very low-resource translation scenarios where languages are not included in pre-training or fine-tuning. Script sharing, multilingual training, and better utilization of limited model capacity contribute to the good performance of the compact IndicBART model.</t>
  </si>
  <si>
    <t>https://Arxiv.org/abs/2109.02903?utm_source=chatgpt.com</t>
  </si>
  <si>
    <t>Creating corpus of low resource Indian languages for natural language processing: Challenges and opportunities</t>
  </si>
  <si>
    <t>['P Dongare</t>
  </si>
  <si>
    <t>Indian languages are classified as low-resource languages. Atkins et al. (1992) outlined several  challenges experienced by languages  advanced languages. When exploring the lack of</t>
  </si>
  <si>
    <t>https://aclanthology.org/2024.wildre-1.8/</t>
  </si>
  <si>
    <t>Low resource Indian language text simplification</t>
  </si>
  <si>
    <t>A survey of research on text simplification</t>
  </si>
  <si>
    <t>['A Siddharthan']</t>
  </si>
  <si>
    <t>As such, none of these evaluations can help us answer the basic question: Would a poor  reader benefit from reading a document simplified by computer? We will further discuss the</t>
  </si>
  <si>
    <t>John Benjamins</t>
  </si>
  <si>
    <t>https://www.jbe-platform.com/content/journals/10.1075/itl.165.2.06sid</t>
  </si>
  <si>
    <t>Text Summarization for Resource-Poor Languages: Datasets and Models for Multiple Indian Languages</t>
  </si>
  <si>
    <t>['VL Sireesha']</t>
  </si>
  <si>
    <t>is rarely seen for low-resource Indian languages, unlike  resources for Indian languages  by introducing ISummCorp (Indic Summarization Corpora) and IndicSumm (Indic Language</t>
  </si>
  <si>
    <t>https://web2py.iiit.ac.in/research_centres/publications/download/mastersthesis.pdf.957680cd46d4bccb.73697265657368612d7468657369732d7072657072696e74202831292e706466.pdf</t>
  </si>
  <si>
    <t>Automatic Sentence Simplification for Hindi: Methods and Application</t>
  </si>
  <si>
    <t>['K Mishra']</t>
  </si>
  <si>
    <t>for text simplification. He has also looked into the discourse level problems arising from  syntactic text simplification  , 2006), he discussed syntactic simplification of sentences. He has</t>
  </si>
  <si>
    <t>https://cdn.iiit.ac.in/cdn/web2py.iiit.ac.in/research_centres/publications/download/mastersthesis.pdf.bf9a7e6ae16a3046.4d535f5468657369735f4b73686974696a5f4d69736872615f323030393032303434202836292e706466.pdf</t>
  </si>
  <si>
    <t>MedSiML: A Multilingual Approach for Simplifying Medical Texts</t>
  </si>
  <si>
    <t>['H A. Jain', 'C Patel', 'R Umatiya', 'S Mistry']</t>
  </si>
  <si>
    <t>These limitations highlight a critical gap in the resources available for medical text  simplification.  We exclude simplifications that have a very low cosine similarity with the original</t>
  </si>
  <si>
    <t>https://link.springer.com/chapter/10.1007/978-981-96-6606-5_12</t>
  </si>
  <si>
    <t>Bridging linguistic gaps: Developing a greek text simplification dataset</t>
  </si>
  <si>
    <t>['L Agathos', 'A Avgoustis', 'X Kryelesi', 'A Makridou']</t>
  </si>
  <si>
    <t>vary widely, spanning from knowledge-rich approaches that use syntactically parsed alignments  between simple and complex sentence pairs [35], to knowledge-poor methods primarily</t>
  </si>
  <si>
    <t>https://www.mdpi.com/2078-2489/15/8/500</t>
  </si>
  <si>
    <t>Pattern-based syntactic simplification of compound and complex sentences</t>
  </si>
  <si>
    <t>['AP Kumar', 'A Nayak', 'M Shenoy', 'RJ Manoj']</t>
  </si>
  <si>
    <t>learners, people with reading disabilities, or low literacy readers [3]â€“[5].  of text  simplification,â€_x009d_ in Proceedings of the 2018 Conference on Empirical Methods in Natural Language</t>
  </si>
  <si>
    <t>https://ieeexplore.ieee.org/abstract/document/9774397/</t>
  </si>
  <si>
    <t>Do text simplification systems preserve meaning? a human evaluation via reading comprehension</t>
  </si>
  <si>
    <t>['S Agrawal', 'M Carpuat']</t>
  </si>
  <si>
    <t>At the other end of the spectrum, the texts simplified by KIS lead to answering only 20% of  questions correctly. This is consistent with the low BERTScore for this system in Table 1, and</t>
  </si>
  <si>
    <t>MIT Press Direct</t>
  </si>
  <si>
    <t>https://direct.mit.edu/tacl/article/doi/10.1162/tacl_a_00653/120649</t>
  </si>
  <si>
    <t>Simplification and Translation of Medical Reports Using Large Language Models-A Protocol for the Indian Context</t>
  </si>
  <si>
    <t>['B Jain', 'S Reddy']</t>
  </si>
  <si>
    <t>Health literacy strengths and challenges among residents of a resource-poor village in  rural India: Epidemiological and cluster analyses. PLOS Glob Public Health. 2023;3(2):e0001595</t>
  </si>
  <si>
    <t>https://www.preprints.org/manuscript/202508.0955/download/final_file</t>
  </si>
  <si>
    <t>Exploring Readability Assessment and Text Simplification for Science Documents within a Multilingual Educational Context.</t>
  </si>
  <si>
    <t>['SS UÃ§ar']</t>
  </si>
  <si>
    <t>text simplification process. We aim to use these list as our guide to define the best prompts for  text simplification order to set the best strategies to simplify texts to be used in the classroom</t>
  </si>
  <si>
    <t>Springer</t>
  </si>
  <si>
    <t>https://ceur-ws.org/Vol-3625/paper12.pdf</t>
  </si>
  <si>
    <t>Multilingual Indic text simplification education</t>
  </si>
  <si>
    <t>A comparative study of educational texts for native, foreign, and bilingual young speakers of russian: are simplified texts equally simple?</t>
  </si>
  <si>
    <t>['A Dmitrieva', 'A Laposhina', 'M Lebedeva']</t>
  </si>
  <si>
    <t>text simplification systems. As for the Russian language, the linguistic complexity of texts for  children was studied on educational  with unbalanced bilingualism/multilingualism, including</t>
  </si>
  <si>
    <t>Frontiers</t>
  </si>
  <si>
    <t>https://www.frontiersin.org/articles/10.3389/fpsyg.2021.703690/full</t>
  </si>
  <si>
    <t>Multilingual text simplification and its performance on social sciences coursebooks</t>
  </si>
  <si>
    <t>['T Schlippe', 'K Eichinger']</t>
  </si>
  <si>
    <t>multilingual training text pairs for enhanced text simplification. The experiments and the  results of our text simplification  our best text simplification systems in the field of education, we</t>
  </si>
  <si>
    <t>https://link.springer.com/chapter/10.1007/978-981-99-7947-9_10</t>
  </si>
  <si>
    <t>DIMSIM: Distilled multilingual critics for Indic text simplification</t>
  </si>
  <si>
    <t>['S Mondal', 'R Ritika', 'A Agrawal', 'P Jyothi']</t>
  </si>
  <si>
    <t>We focus on the problem of text simplification for three Indian languages: Hindi, Bengali and   We also show the benefits of training multilingual critics, as opposed to monolingual critics.</t>
  </si>
  <si>
    <t>https://aclanthology.org/2024.findings-acl.952/</t>
  </si>
  <si>
    <t>Multilingual neural machine translation for indic to indic languages</t>
  </si>
  <si>
    <t>['S Bala Das', 'D Panda', 'T Kumar Mishra']</t>
  </si>
  <si>
    <t>[15] have proposed a multitask learning method in one-to-many multilingual translation  situations,  Experiments reveal that their multi-task learning approach produces much superior</t>
  </si>
  <si>
    <t>https://dl.acm.org/doi/abs/10.1145/3652026</t>
  </si>
  <si>
    <t>Robust multilingual OCR: from Ancient Indic texts to modern Indian Street signs.</t>
  </si>
  <si>
    <t>['R Saluja']</t>
  </si>
  <si>
    <t>the problem of text recognition in ancient Indic documents, we  Further investigations  demonstrate that texts in Indic  the printed documents of different Indic languages. We further</t>
  </si>
  <si>
    <t>https://scholar.archive.org/work/arbqjgo5abgxda3nc3tbztp55q/access/wayback/https://au-east.erc.monash.edu.au/fpfiles/26220989/Saluja_FinalthesisCherieLau.pdf</t>
  </si>
  <si>
    <t>Research Article</t>
  </si>
  <si>
    <t>TEEMIL: Towards Educational MCQ Difficulty Estimation in Indic Languages</t>
  </si>
  <si>
    <t>['M Ravikiran', 'S Vohra', 'R Verma', 'R Saluja']</t>
  </si>
  <si>
    <t>for creating effective educational assessments, yet remains underexplored in Indic languages  like  We benchmark these datasets using state-of-the-art multilingual models and conduct</t>
  </si>
  <si>
    <t>https://aclanthology.org/2025.coling-main.142/</t>
  </si>
  <si>
    <t>Enhancing Text Summarization for Indian Languages: Mono, Multi and Cross-lingual Approaches</t>
  </si>
  <si>
    <t>['A URLANA']</t>
  </si>
  <si>
    <t>The internet serves as a vast repository of information covering a diverse array of topics, ranging
from blogs and articles to websites. However, it is important to note that not all of this information
is valuable or relevant. Navigating through the plethora of content in order to gain a comprehensive
understanding of a particular topic can be a daunting and time-consuming task. Furthermore, it is all
too common to invest time in reading content that ultimately proves to be unimportant or irrelevant.
Given the inherent limitations of the human cognitive capacity to process large quantities of information,
concise and relevant summaries are highly sought after in order to efficiently and effectively comprehend
complex subjects.
Summarization is a computational task that condenses textual information into a concise version
by including only the most essential and relevant information. There are two main approaches to
summarization: extractive and abstractive. Extractive summarization involves selecting sentences based
on their importance, while abstractive summarization involves introducing new words or phrases in the
summary. Document summarization has been studied for over three decades by the NLP community.
However, progress in Indian language summarization has been limited due to the lack of high-quality
datasets and benchmark models, which has motivated us to work towards developing resources and
benchmarks for Indian languages. In this thesis, we have developed text summarization resources for
Indian languages in three different settings: mono-lingual, cross-lingual, and multi-lingual.
The initial focus of this thesis is on mono-lingual summarization, specifically creating a high-quality
dataset for the popular south Indian language, Telugu. We propose a pipeline that crowd-sourced
summarization data and then aggressively filtered the content via: automatic and partial expert evaluation.
Using the pipeline, we create a high-quality Telugu abstractive summarization dataset (TeSum). The
dataset consists of 20,329 document-summary pairs, which were created by 347 annotators and evaluated
by 3 raters. We carefully designed annotation guidelines that consider the parameters of Relevance,
Readability, and Creativity. Additionally, we compared our dataset with existing Telugu summarization
datasets.
By training a summarization system on multiple languages, the system can learn to represent concepts
in a shared space, regardless of the language in which they are expressed. This shared representation
learning can be useful for transfer learning, as it enables the model to apply knowledge gained from
one language to another language. To achieve this, we perform the multi-lingual and cross-lingual
summarization for Indian languages.</t>
  </si>
  <si>
    <t>https://cdn.iiit.ac.in/cdn/web2py.iiit.ac.in/research_centres/publications/download/mastersthesis.pdf.88fa584589bd36b3.4173686f6b5f4d535f5468657369732e706466.pdf</t>
  </si>
  <si>
    <t>Multilingual Transliteration for Pan-Indic Keyboard Input</t>
  </si>
  <si>
    <t>['JR Bellegarda']</t>
  </si>
  <si>
    <t>Millions of multilingual multi-Indic+English users would benefit if mobile text input eschewed  manual switching between monolingual transliteration keyboards. We propose to make</t>
  </si>
  <si>
    <t>https://ieeexplore.ieee.org/abstract/document/10446873/</t>
  </si>
  <si>
    <t>A machine learning-based classification model to support university students with dyslexia with personalized tools and strategies</t>
  </si>
  <si>
    <t>[Andrea Zingoni, Juri Taborri, Giuseppe Calabrò]</t>
  </si>
  <si>
    <t>Dyslexia is a specific learning disorder affecting reading, comprehension, and memorization, impacting about 10% of the global population. Support for dyslexic students must be personalized for effectiveness. This paper presents a supervised machine learning-based model that classifies the best digital tools and learning strategies tailored for university students with dyslexia. Data were collected via a self-evaluation questionnaire distributed to over 1200 students. The model predicts the most helpful tools and strategies with an accuracy above 90%, allowing a new approach to inclusive education that modifies teaching methods based on individual needs rather than reducing academic requirements.</t>
  </si>
  <si>
    <t>https://doi.org/10.1038/s41598-023-50879-7</t>
  </si>
  <si>
    <t>Journal Article</t>
  </si>
  <si>
    <t>Dyslexia, machine learning, classification model, personalized support, university students, learning strategies, digital tools</t>
  </si>
  <si>
    <t>A survey on AI based Dyslexia detection and strategies to assist Dyslexic children</t>
  </si>
  <si>
    <t>D. Yamunathangam, L. Latha, C. Bharathi Priya, T. Primya</t>
  </si>
  <si>
    <t>The paper reviews AI-based dyslexia detection techniques and screening tools developed by various researchers. It discusses the challenges in identifying dyslexic individuals and explores assistive tools aimed at improving the quality of life for dyslexic children. The study includes approaches to diagnose dyslexia using brain activation data, eye movements, handwriting, and audio recordings. Assistive technologies reviewed include automatic text simplification, text-to-speech, tutoring systems, and gamified learning. The survey also highlights issues such as lack of language-specific tools and challenges in early diagnosis.</t>
  </si>
  <si>
    <t>https://doi.org/10.1063/5.0262966</t>
  </si>
  <si>
    <t>Dyslexia, Assistive platforms, Machine learning, Deep learning, Virtual reality</t>
  </si>
  <si>
    <t>Advanced Machine Learning Techniques To Assist Dyslexic Children For Easy Readability</t>
  </si>
  <si>
    <t>Geeta Atkar, Dr. Priyadarshini J.</t>
  </si>
  <si>
    <t>“Dyslexia” is disorder normally occurred in children. In which they are unable to learn the things easily as like normal children. Such kids are considered as Dyslexic Children. Main objective of this paper is to assist such child for easy readability the paper focuses on reading disability of Hindi words. Children of age five to seven years are considered as target, which are having problem in reading. Here some of the software based techniques and some hardware based techniques are discussed. Total 600 sounds of Hindi two letters and three letters words are taken as an input. These audios are trained by using Dynamic Time wrapping algorithm. Their results are compared. After training whenever this system will be used as assistive system for dyslexic children. They should be easily read and recognize the word.</t>
  </si>
  <si>
    <t>https://www.ijstr.org/final-print/mar2020/Advanced-Machine-Learning-Techniques-To-Assist-Dyslexic-Children-For-Easy-Readability.pdf</t>
  </si>
  <si>
    <t>K Nearest Neighbour, Dyslexia, Hidden Markov Model, K-Means, Dynamic Time Warping, Speech Recognition</t>
  </si>
  <si>
    <t>A Review of Artificial Intelligence-Based Educational Interventions for Students with ADHD</t>
  </si>
  <si>
    <t>Nikita Warrier</t>
  </si>
  <si>
    <t>This paper reviews AI-based educational interventions designed to support students with ADHD. It highlights the applications of adaptive learning platforms, intelligent tutoring systems, and real-time feedback tools to personalize instruction and provide timely guidance. The review includes ethical considerations such as algorithmic bias, privacy, and equitable access. The AI interventions positively impact academic outcomes by improving focus, task completion, and content mastery, while also enhancing emotional regulation and motivation.</t>
  </si>
  <si>
    <t>https://nhsjs.com/2025/a-review-of-artificial-intelligence-based-educational-interventions-for-students-with-adhd/</t>
  </si>
  <si>
    <t>ADHD, Education Technology, Artificial Intelligence (AI), Personalized Learning, Real-time Feedback, Machine Learning (ML), Executive Functioning, Large Language Model (LLM)</t>
  </si>
  <si>
    <t>Detecting ADHD through natural language processing and stylometric analysis of adolescent narratives</t>
  </si>
  <si>
    <t>Juan Barrios, Elena Poznyak, Jessica Lee Samson, Halima Rafi, Simon Gabay, Florian Cafiero, Martin Debbané</t>
  </si>
  <si>
    <t>This study uses Natural Language Processing and stylometric analysis to identify linguistic markers in self-defining memories (SDMs) of adolescents with ADHD compared to typically developing peers. Stylometric features were extracted from transcribed narratives and used with a Support Vector Machine classifier to distinguish ADHD from control groups with up to 100% precision. Linguistic metrics showed ADHD narratives were shorter, less lexically diverse, and less cohesive, reflecting emotion regulation and communication difficulties. The research highlights the potential of NLP to aid ADHD diagnosis and improve understanding of cognitive-linguistic profiles.</t>
  </si>
  <si>
    <r>
      <rPr>
        <rFont val="Times New Roman"/>
        <color rgb="FF1155CC"/>
        <sz val="11.0"/>
        <u/>
      </rPr>
      <t>https://www.frontiersin.org/articles/10.3389/frcha.2025.1519753/full</t>
    </r>
  </si>
  <si>
    <t>ADHD, self-defining memories, emotion regulation, natural language processing, stylometry, computational linguistics</t>
  </si>
  <si>
    <t>Development and standardization of the DALI-DAB (dyslexia assessment for languages of India – dyslexia assessment battery)</t>
  </si>
  <si>
    <t>Chaitra Rao, Sumathi T. A., Rashi Midha, Geet Oberoi, Bhoomika Kar, Masarrat Khan, Kshipra Vaidya, Vishal Midya, Nitya Raman, Mona Gajre, Nandini Chatterjee Singh</t>
  </si>
  <si>
    <t>The DALI-DAB is the first standardized dyslexia assessment tool developed and validated for bilingual-biliterate schoolchildren in India, specifically designed for English, Hindi, and Marathi languages. It assesses reading ability and literacy-learning potential through a battery of tests including letter and word reading, spelling, nonword reading, reading comprehension, and mediator skills such as phonological awareness and executive function. Standardization on 1013 children showed high reliability and validity. The battery enables early and comprehensive dyslexia risk identification across languages and supports individualized instruction planning.</t>
  </si>
  <si>
    <t>Dyslexia assessment, Indian languages, Learning disability</t>
  </si>
  <si>
    <t>Explainable AI in Handwriting Detection for Dyslexia Using Transfer Learning</t>
  </si>
  <si>
    <t>Mahmoud Robaa, Mazen Balat, Rewaa Awaad, Esraa Omar, Salah A. Aly</t>
  </si>
  <si>
    <t>This study introduces an explainable AI (XAI) framework for dyslexia detection via handwriting analysis, achieving a test precision of 99.65%. The framework integrates transfer learning and transformer-based models with Grad-CAM visualizations for transparency in decision-making. It surpasses state-of-the-art methods in classification accuracy and is adaptable for different languages and writing systems. The approach supports early detection, builds stakeholder trust, and enables personalized education strategies.</t>
  </si>
  <si>
    <t>https://Arxiv.org/abs/2410.19821</t>
  </si>
  <si>
    <t>Dyslexia detection, Handwriting analysis, Explainable AI (XAI), Learning disabilities, Transfer learning</t>
  </si>
  <si>
    <t>Reading difficulties of Hindi-speaking children with developmental dyslexia</t>
  </si>
  <si>
    <t>Ashum Gupta</t>
  </si>
  <si>
    <t>This study examines the nature of reading difficulties in Hindi-speaking children with developmental dyslexia. Dyslexic children were compared with reading-age and chronological-age matched controls on word and nonword reading tasks. The findings show dyslexic children have slower reading speed and lower accuracy, producing significantly more errors. Graphemic errors (visual letter confusion) were more common than phonological errors, with vowel-related errors more frequent than consonant errors. Despite Hindi’s transparent orthography, dyslexic children exhibited poor phonological awareness and blending skills, affecting reading and spelling. The study provides detailed error analysis and highlights the need for explicit teaching of grapheme-phoneme correspondence in Hindi to support dyslexic learners.</t>
  </si>
  <si>
    <t>https://link.springer.com/article/10.1023/B:READ.0000013823.56357.8b</t>
  </si>
  <si>
    <t>Devanagari, Dyslexia, Hindi script, Orthographic transparency, Reading difficulties</t>
  </si>
  <si>
    <t>Ahmad Nazran bin Yusri, Muhammad Hafizzul bin Abdul Manap, Megat Irfan Zackry bin Ismail, Muhammad Muizzuddin bin Kamarozaman</t>
  </si>
  <si>
    <t>This paper presents a novel AI-powered speed reading tool designed to help students with dyslexia, ADHD, and short attention spans process text-based information more efficiently. The tool utilizes a Multilayer Perceptron (MLP) for complex text processing and summarization. It leverages the T5 (Text-to-Text Transfer Transformer) model from Hugging Face, fine-tuned on specific tasks with a smaller dataset. The application incorporates custom half-word bolding and adjustable line, word, and character spacing modeled on Bionic Reading principles to enhance readability. The framework uses Flask for deployment with a user-friendly interface. Results show significant improvement in reading speed and comprehension for target users.</t>
  </si>
  <si>
    <t>Conference/Project Report</t>
  </si>
  <si>
    <t>Artificial Intelligence, Speed Reading, Natural Language Processing, Text Summarization, Custom Half-Word Bolding, Line Spacing, Word Spacing, Character Spacing</t>
  </si>
  <si>
    <t>Teaching Sentence in Hindi and Bangla with An Assistive System to The Children with Dyslexia</t>
  </si>
  <si>
    <t>Dipshikha Podder, Manjira Sinha, Anupam Basu</t>
  </si>
  <si>
    <t>The paper presents a desktop-based assistive system designed to help children with dyslexia learn sentence reading in Hindi and Bangla using a multisensory teaching approach—integrating seeing, hearing, speaking, and writing. The system displays sentences word-by-word with audio output and uses speech-to-text for reading accuracy. It tracks three measures: reading accuracy, writing accuracy, and response time, providing performance feedback to educators. Evaluated through a survey of special educators, results indicate effective teaching aid potential, especially during Covid-19 where schools and special education centers were closed.</t>
  </si>
  <si>
    <t>https://ieeexplore.ieee.org/document/9816251</t>
  </si>
  <si>
    <t>dyslexia, sentence reading, Bangla, Hindi, multisensory teaching, response time analysis</t>
  </si>
  <si>
    <t>Transparent but Powerful: Explainability, Accuracy, and Generalizability in ADHD Detection from Social Media Data</t>
  </si>
  <si>
    <t>Daniel Wiechmann, Edward Kempa, Elma Kerz, Yu Qiao</t>
  </si>
  <si>
    <t>This paper presents a comprehensive study on ADHD detection leveraging both shallow machine learning and deep learning approaches, including BiLSTM and transformer-based models, applied to linguistic patterns in ADHD-related social media texts. The study discusses the trade-offs between model interpretability and performance, emphasizing that BiLSTM offers a good balance of transparency and accuracy. The authors perform feature ablation to identify key linguistic features associated with ADHD and assess the generalizability of models across platforms (training on Reddit and testing on Twitter). This work advances the understanding of explainable AI in mental health applications and addresses underdiagnosis of ADHD.</t>
  </si>
  <si>
    <t>https://Arxiv.org/abs/2411.15586</t>
  </si>
  <si>
    <t>Preprint/Journal Article</t>
  </si>
  <si>
    <t>ADHD, natural language processing, machine learning, explainable AI, BiLSTM, transformer models, social media, mental health screening</t>
  </si>
  <si>
    <t>Natural language processing and its use in education</t>
  </si>
  <si>
    <t>['KM Alhawiti']</t>
  </si>
  <si>
    <t>â€¢ The objective of this study is to apply the natural language processing NLP in educational Having access to a variety of tools, NLP enjoys the implementation in multiple fields such as</t>
  </si>
  <si>
    <t>Academia</t>
  </si>
  <si>
    <t>https://www.academia.edu/download/58121311/Paper_10-Natural_Language_Processing.pdf</t>
  </si>
  <si>
    <t>natural language processing accessibility education</t>
  </si>
  <si>
    <t>Application of Natural Language Processing Technologies to Improve Accessibility of E-Learning Resources</t>
  </si>
  <si>
    <t>['S Sulova']</t>
  </si>
  <si>
    <t>in ensuring universal education and ensuring equal access to of natural language processing and text summarization technologies to improve the accessibility of electronic educational</t>
  </si>
  <si>
    <t>https://dl.acm.org/doi/abs/10.1145/3674912.3674917</t>
  </si>
  <si>
    <t>Conference</t>
  </si>
  <si>
    <t>A review of natural language processing in medical education</t>
  </si>
  <si>
    <t>['M Chary', 'S Parikh', 'AF Manini']</t>
  </si>
  <si>
    <t>The application of NLP to medical education has been FOAM (Free Open Access Medical Education) resources with more by PubMed as relating to medical education and NLP, 14 of</t>
  </si>
  <si>
    <t>https://pmc.ncbi.nlm.nih.gov/articles/PMC6324711/</t>
  </si>
  <si>
    <t>Towards machine learning fairness education in a natural language processing course</t>
  </si>
  <si>
    <t>['SJ Dobesh', 'T Miller', 'P Newman', 'Y Liu']</t>
  </si>
  <si>
    <t>Presenting and evaluating the impact of experiential learning in computing accessibility education. In 2020 IEEE/ACM 42nd International Conference on Software Engineering: Software</t>
  </si>
  <si>
    <t>https://dl.acm.org/doi/abs/10.1145/3545945.3569802</t>
  </si>
  <si>
    <t>Research Article / Preprint</t>
  </si>
  <si>
    <t>Utilizing Natural Language Processing for Enhancing Educational Content and Accessibility in Technical Education</t>
  </si>
  <si>
    <t>N/A</t>
  </si>
  <si>
    <t>['D DobardÅ¾iÄ‡', 'V OgnjenoviÄ‡', 'I BerkoviÄ‡']</t>
  </si>
  <si>
    <t>natural language processing (NLP) in technical education, improving accessibility and the efficiency of educational content. education, theoretical models and principles of accessibility</t>
  </si>
  <si>
    <t>https://www.researchgate.net/profile/Vladimir-Milosev/publication/380910209_Educational_Softwares_in_the_Function_of_Improving_Education_of_Children_with_Special_Needs/links/665599480b0d2845745e0e9d/Educational-Softwares-in-the-Function-of-Improving-Education-of-Children-with-Special-Needs.pdf#page=182</t>
  </si>
  <si>
    <t>A systematic literature review on the applications of robots and natural language processing in education</t>
  </si>
  <si>
    <t>['HA Younis', 'NIR Ruhaiyem', 'W Ghaban', 'NA Gazem']</t>
  </si>
  <si>
    <t>have access to the Oxford dictionary definitions of learning, learning, deep learning, and natural language processing, It covers many fields, including educational, medical, health,</t>
  </si>
  <si>
    <t>https://www.mdpi.com/2079-9292/12/13/2864</t>
  </si>
  <si>
    <t>The Impact of Natural Language Processing on Literacy Education and Practice</t>
  </si>
  <si>
    <t>['M Muljono', 'RA Nugroho', 'H Haryanto']</t>
  </si>
  <si>
    <t>, we provide a thorough understanding of how it is changing literacy education (Saputra et al educational experience, enabling efficient assessment, and giving affordable access to</t>
  </si>
  <si>
    <t>https://ieeexplore.ieee.org/abstract/document/10911388/</t>
  </si>
  <si>
    <t>Maximizing learning trajectories: an investigation into AI-driven natural language processing integration in online educational platforms</t>
  </si>
  <si>
    <t>['A Manoharan', 'G Nagar']</t>
  </si>
  <si>
    <t>(AI) and natural language processing (NLP) within the realm of online education platforms. With the This global reach expands access to quality education and promotes cross-cultural</t>
  </si>
  <si>
    <t>https://www.academia.edu/download/112736732/MAXIMIZING_LEARNING_TRAJECTORIES.pdf</t>
  </si>
  <si>
    <t>Natural Language Processing for Enhancing Communication in Special Education</t>
  </si>
  <si>
    <t>NA</t>
  </si>
  <si>
    <t>['F Mahjabeen']</t>
  </si>
  <si>
    <t>, and language translation, NLP enables personalized and accessible communication This paper explores the role of NLP in special education, analyzing its applications, benefits</t>
  </si>
  <si>
    <t>https://www.neliti.com/publications/591005/natural-language-processing-for-enhancing-communication-in-special-education</t>
  </si>
  <si>
    <t>Computerâ€_x0090_assisted assignment of educational standards using natural language processing</t>
  </si>
  <si>
    <t>['H Devaul', 'AR Diekema']</t>
  </si>
  <si>
    <t>The service utilizes natural language processing techniques to assess the content of a workflow that enables access to standards-based educational information in a digital library.</t>
  </si>
  <si>
    <t>Journal of the American â€¦</t>
  </si>
  <si>
    <t>https://asistdl.onlinelibrary.wiley.com/doi/abs/10.1002/asi.21437</t>
  </si>
  <si>
    <t>['MM Alnfiai', 'NA Alsudairy', 'AI Alharbi', 'NN Alotaibi']</t>
  </si>
  <si>
    <t>GPT excels in producing coherent and contextually relevant text, making it an ideal tool for assistive technologies. we analyze different NLP models and their applications in cognitive</t>
  </si>
  <si>
    <t>https://link.springer.com/article/10.1007/s10339-025-01258-9</t>
  </si>
  <si>
    <t>NLP assistive technology for cognitive disabilities</t>
  </si>
  <si>
    <t>Natural language processing in assistive technologies</t>
  </si>
  <si>
    <t>['I Gavat', 'A Griparis']</t>
  </si>
  <si>
    <t>modules for assistive devices in the laboratory of our university. with disabilities for a normal life, recommending a large variety of assistive devices, a number of them based on NLP.</t>
  </si>
  <si>
    <t>http://rjts-applied-mechanics.ro/index.php/rjts/article/view/377</t>
  </si>
  <si>
    <t>Assistive Technologies for Individuals with a Disability from a Neurological Condition: A Narrative Review on the Multimodal Integration</t>
  </si>
  <si>
    <t>['M Bonanno', 'B Saracino', 'I Ciancarelli', 'G Panza']</t>
  </si>
  <si>
    <t>and challenges of assistive technologies in individuals with neurological disabilities, focusing on a promising approach to support cognitive impairments in individuals with neurological</t>
  </si>
  <si>
    <t>https://www.mdpi.com/2227-9032/13/13/1580</t>
  </si>
  <si>
    <t>Research Article/ Preprint</t>
  </si>
  <si>
    <t>A natural language-based presentation of cognitive stimulation to people with dementia in assistive technology: A pilot study</t>
  </si>
  <si>
    <t>['N Dethlefs', 'M Milders', 'H CuayÃ¡huitl']</t>
  </si>
  <si>
    <t>to improve cognition, computer-based cognitive interventions that rely on cognitive stimulation older people and people with mild cognitive impairments or dementia. Computer-based</t>
  </si>
  <si>
    <t>https://www.tandfonline.com/doi/abs/10.1080/17538157.2016.1255627</t>
  </si>
  <si>
    <t>The potential of artificial intelligence for assistive technology in education</t>
  </si>
  <si>
    <t>['K Zdravkova']</t>
  </si>
  <si>
    <t>them into a speech by implementing natural language processing (NLP) procedures [27]. teachers with cognitive disabilities are the assistive technologies for augmenting learning,</t>
  </si>
  <si>
    <t>https://link.springer.com/chapter/10.1007/978-3-031-04662-9_4</t>
  </si>
  <si>
    <t>Intelligent assistive technology devices for persons with dementia: a scoping review</t>
  </si>
  <si>
    <t>['S Dada', 'C Van der Walt', 'AA May', 'J Murray']</t>
  </si>
  <si>
    <t>has focused on cognitive impairments of PwD natural language processing. Similarly, a systematic mapping study indicated that academic research on software-based assistive devices</t>
  </si>
  <si>
    <t>https://www.tandfonline.com/doi/abs/10.1080/10400435.2021.1992540</t>
  </si>
  <si>
    <t>Natural language processing enhancing human-computer interaction for disabled</t>
  </si>
  <si>
    <t>['PP Roy', 'P Anand', 'S Tiwari']</t>
  </si>
  <si>
    <t>with NLP Advancement in assistive technology and Here is some recent advancement in which NLP was the the help of natural language processing (NLP) technology. Their approach</t>
  </si>
  <si>
    <t>https://ieeexplore.ieee.org/abstract/document/10973941/</t>
  </si>
  <si>
    <t>Unlocking potential: How AI and natural language processing are empowering people with disabilities in tech</t>
  </si>
  <si>
    <t>['B Batte']</t>
  </si>
  <si>
    <t>This capability extends to various IT domains, where NLP can , NLP empowers individuals with cognitive disabilities to or assistive technologies to access and process information.</t>
  </si>
  <si>
    <t>https://papers.ssrn.com/sol3/papers.cfm?abstract_id=5236153</t>
  </si>
  <si>
    <t>Improving Accessibility with NLP: Making Technology More Inclusive for the Differently Abled</t>
  </si>
  <si>
    <t>['B Jamal', 'F Riaz']</t>
  </si>
  <si>
    <t>In the same way, NLP-based assistive devices may be crafted in such a way that they adapt of people with cognitive disabilities so that they could ensure that NLP systems could react</t>
  </si>
  <si>
    <t>http://tairjournal.com/index.php/22/article/view/10</t>
  </si>
  <si>
    <t>Artificial intelligence of things applied to assistive technology: a systematic literature review</t>
  </si>
  <si>
    <t>['MP De Freitas', 'VA Piai', 'RH Farias', 'AMR Fernandes']</t>
  </si>
  <si>
    <t>[11], auxiliary memory for people with cognitive disabilities, and a series of smart objects such in machine learning, such as natural language processing [41], knowledge representation [</t>
  </si>
  <si>
    <t>https://www.mdpi.com/1424-8220/22/21/8531</t>
  </si>
  <si>
    <t>A Computer Vision Approach to Enhance Visual Data used to Overcome the Learning Disabilities in Higher Education</t>
  </si>
  <si>
    <t>['RK Mahto', 'P Kumar']</t>
  </si>
  <si>
    <t>dyslexia and developing e-learning tools to address learning and cognitive disorders. An intelligent tutoring system for improving application accessibility of disabled learners. In</t>
  </si>
  <si>
    <t>https://link.springer.com/chapter/10.1007/978-981-97-0914-4_10</t>
  </si>
  <si>
    <t>Computer vision accessibility education for cognitive disabilities</t>
  </si>
  <si>
    <t>Online e-learning and cognitive disabilities: A systematic review</t>
  </si>
  <si>
    <t>['PA Cinquin', 'P Guitton', 'H SauzÃ©on']</t>
  </si>
  <si>
    <t>tools for improving access to education and ultimately aiding issue of accessibility for people with cognitive impairments ( ; 2) a weak inclusion of accessibility standards (N = 5) and 3)</t>
  </si>
  <si>
    <t>https://www.sciencedirect.com/science/article/pii/S0360131518303178</t>
  </si>
  <si>
    <t>Computer vision-based methodology to improve interaction for people with motor and speech impairment</t>
  </si>
  <si>
    <t>['REOS Ascari', 'R Pereira', 'L Silva']</t>
  </si>
  <si>
    <t>While the support of a caregiver will always be necessary when people have more extreme disabilities, particularly cognitive disabilities that affect intentional interaction, the system</t>
  </si>
  <si>
    <t>https://dl.acm.org/doi/abs/10.1145/3408300</t>
  </si>
  <si>
    <t>Computer Vision applied to improve interaction and communication of people with motor disabilities: A systematic mapping</t>
  </si>
  <si>
    <t>['RE de Oliveira Schultz Ascari', 'L Silva']</t>
  </si>
  <si>
    <t>Computer Vision is applied to enable users with motor and speech impairments to access computers where intentions are compromised by intellectual disabilities. We argue that</t>
  </si>
  <si>
    <t>https://journals.sagepub.com/doi/abs/10.3233/TAD-200308</t>
  </si>
  <si>
    <t>Bridging the Accessibility Gap: A Review of E-Learning Platforms Supporting Learners with Disabilities through Assistive Technologies</t>
  </si>
  <si>
    <t>['B Kumar', 'A Pal']</t>
  </si>
  <si>
    <t>and computer vision spanning from 2020 to 2023. Groundbreaking models such as the Vision These advancements underscore the rapid evolution and dynamic capabilities of machine</t>
  </si>
  <si>
    <t>http://ijrdase.com/ijrdase/wp-content/uploads/2025/06/Bridging-the-Accessibility-Gap-A-Review-of-E-Learning-Platforms-Supporting-Learners-with-Disabilities-through-Assistive-Technologies.pdf</t>
  </si>
  <si>
    <t>Emerging technologies and cognitive disability</t>
  </si>
  <si>
    <t>['D Braddock', 'MC Rizzolo']</t>
  </si>
  <si>
    <t>advances in computer science, engineering, accessibility and empower persons with cognitive disabilities to use common technologies such as the Internet and personal computers.</t>
  </si>
  <si>
    <t>https://journals.sagepub.com/doi/abs/10.1177/016264340401900406</t>
  </si>
  <si>
    <t>Designing accessible MOOCs to expand educational opportunities for persons with cognitive impairments</t>
  </si>
  <si>
    <t>our study focuses on the accessibility of e-learning systems for persons with cognitive impairments, we have identified different stakeholders as: students with cognitive impairments,</t>
  </si>
  <si>
    <t>https://www.tandfonline.com/doi/abs/10.1080/0144929X.2020.1742381</t>
  </si>
  <si>
    <t>Cognitive accessibility and support in special education</t>
  </si>
  <si>
    <t>['MA GuillomÃ­a', 'JI Artigas', 'JL FalcÃ³']</t>
  </si>
  <si>
    <t>This work originated by focusing on cognitive accessibility for young people with intellectual disabilities in virtual social life of children with cognitive disability. Training in sequence and</t>
  </si>
  <si>
    <t>https://www.mdpi.com/1424-8220/21/14/4871</t>
  </si>
  <si>
    <t>The struggle for web eQuality by persons with cognitive disabilities</t>
  </si>
  <si>
    <t>['P Blanck']</t>
  </si>
  <si>
    <t>(access) by people with cognitive disabilities towards the may help people with cognitive disabilities to fully partake for web equality for people with disabilities; it introduces definitions,</t>
  </si>
  <si>
    <t>https://onlinelibrary.wiley.com/doi/abs/10.1002/bsl.2101</t>
  </si>
  <si>
    <t>" It Broadens My Mind" Empowering People with Cognitive Disabilities through Computing Education</t>
  </si>
  <si>
    <t>['V Koushik', 'SK Kane']</t>
  </si>
  <si>
    <t>curricula to support young adults with cognitive disabilities in learning computer science. accessibility challenges and strategies for overcoming these challenges to create an inclusive</t>
  </si>
  <si>
    <t>https://dl.acm.org/doi/abs/10.1145/3290605.3300744</t>
  </si>
  <si>
    <t>Towards Inclusive Reading: A Neural Text Generation Framework for Dyslexia Accessibility</t>
  </si>
  <si>
    <t>Elham Madjidi, Christopher Crick</t>
  </si>
  <si>
    <t>This paper presents a novel approach to generating dyslexia-friendly text using neural text generation techniques. The framework leverages transformer-based language models, specifically GPT and T5, and integrates syllable and morphological analysis to enhance readability and comprehension for dyslexic readers. It was fine-tuned on a curated dataset and validated through experiments with dyslexic undergraduate students, showing improvements in reading time and engagement. The study offers insights into specific challenges faced by dyslexic readers and contributes to the design of accessible educational materials.</t>
  </si>
  <si>
    <t>DSAI</t>
  </si>
  <si>
    <t>https://cs.okstate.edu/~chriscrick/Madjidi-DSAI-24.pdf</t>
  </si>
  <si>
    <t>Cognitive Accessibility and Learning</t>
  </si>
  <si>
    <t>Indian Context Cognitive Accessibility</t>
  </si>
  <si>
    <t xml:space="preserve">AI solutions </t>
  </si>
  <si>
    <t>Designing Soultions/Text</t>
  </si>
  <si>
    <t>Text simplification / summarization</t>
  </si>
  <si>
    <t>TTS</t>
  </si>
  <si>
    <t>Indic Languages</t>
  </si>
  <si>
    <t>Included</t>
  </si>
  <si>
    <t>Excluded</t>
  </si>
  <si>
    <r>
      <rPr>
        <rFont val="Times New Roman"/>
        <color rgb="FF000000"/>
        <sz val="11.0"/>
      </rPr>
      <t>Pierre-Antoine Cinquin,Pascal Guitton,</t>
    </r>
    <r>
      <rPr>
        <rFont val="Times New Roman"/>
        <color rgb="FF000000"/>
        <sz val="11.0"/>
        <u/>
      </rPr>
      <t>Hélène Sauzéon</t>
    </r>
  </si>
  <si>
    <r>
      <t xml:space="preserve">For decades now, as the issue of social progress has come to the fore, the drive to improve </t>
    </r>
    <r>
      <rPr>
        <rFont val="Times New Roman"/>
        <color rgb="FF000000"/>
        <sz val="11.0"/>
        <u/>
      </rPr>
      <t>access to education</t>
    </r>
    <r>
      <rPr>
        <rFont val="Times New Roman"/>
        <color rgb="FF000000"/>
        <sz val="11.0"/>
      </rPr>
      <t xml:space="preserve"> has been behind the growth in research into e-learning. The current </t>
    </r>
    <r>
      <rPr>
        <rFont val="Times New Roman"/>
        <color rgb="FF000000"/>
        <sz val="11.0"/>
        <u/>
      </rPr>
      <t>systematic literature review</t>
    </r>
    <r>
      <rPr>
        <rFont val="Times New Roman"/>
        <color rgb="FF000000"/>
        <sz val="11.0"/>
      </rPr>
      <t xml:space="preserve"> raised the question of the existence of studies addressing the specific needs of persons with </t>
    </r>
    <r>
      <rPr>
        <rFont val="Times New Roman"/>
        <color rgb="FF000000"/>
        <sz val="11.0"/>
        <u/>
      </rPr>
      <t>cognitive impairments</t>
    </r>
    <r>
      <rPr>
        <rFont val="Times New Roman"/>
        <color rgb="FF000000"/>
        <sz val="11.0"/>
      </rPr>
      <t xml:space="preserve">. Indeed, e-learning is expected to be one of the critical tools for improving access to education and ultimately aiding social inclusion. The systematic literature review was performed through a four-step process including an </t>
    </r>
    <r>
      <rPr>
        <rFont val="Times New Roman"/>
        <color rgb="FF000000"/>
        <sz val="11.0"/>
        <u/>
      </rPr>
      <t>exhaustive search</t>
    </r>
    <r>
      <rPr>
        <rFont val="Times New Roman"/>
        <color rgb="FF000000"/>
        <sz val="11.0"/>
      </rPr>
      <t xml:space="preserve"> of scientific literature databases, the selection of studies through exclusion and </t>
    </r>
    <r>
      <rPr>
        <rFont val="Times New Roman"/>
        <color rgb="FF000000"/>
        <sz val="11.0"/>
        <u/>
      </rPr>
      <t>inclusion criteria</t>
    </r>
    <r>
      <rPr>
        <rFont val="Times New Roman"/>
        <color rgb="FF000000"/>
        <sz val="11.0"/>
      </rPr>
      <t xml:space="preserve">, and literature analysis and synthesis. The main results are: 1) a lack of e-learning studies addressing the issue of accessibility for people with cognitive impairments (N = 29) with a purpose dominated by design guidelines rather than effectiveness assessment; 2) a weak inclusion of accessibility standards (N = 5) and 3) a weak inclusion of </t>
    </r>
    <r>
      <rPr>
        <rFont val="Times New Roman"/>
        <color rgb="FF000000"/>
        <sz val="11.0"/>
        <u/>
      </rPr>
      <t>special education</t>
    </r>
    <r>
      <rPr>
        <rFont val="Times New Roman"/>
        <color rgb="FF000000"/>
        <sz val="11.0"/>
      </rPr>
      <t xml:space="preserve"> findings (N = 3), with a focus on specific neuropsychological disorders or syndromes (dyslexia, </t>
    </r>
    <r>
      <rPr>
        <rFont val="Times New Roman"/>
        <color rgb="FF000000"/>
        <sz val="11.0"/>
        <u/>
      </rPr>
      <t>ADHD</t>
    </r>
    <r>
      <rPr>
        <rFont val="Times New Roman"/>
        <color rgb="FF000000"/>
        <sz val="11.0"/>
      </rPr>
      <t xml:space="preserve">, etc.) rather than on impairments of cognitive function (attention, memory, etc.) as promoted by the International Classification of Functioning (World Health Organization, 2001); 4) the identification of five families of accessibility function (adaptive systems, game elements, accessible content, </t>
    </r>
    <r>
      <rPr>
        <rFont val="Times New Roman"/>
        <color rgb="FF000000"/>
        <sz val="11.0"/>
        <u/>
      </rPr>
      <t>virtual agents</t>
    </r>
    <r>
      <rPr>
        <rFont val="Times New Roman"/>
        <color rgb="FF000000"/>
        <sz val="11.0"/>
      </rPr>
      <t xml:space="preserve"> and accessible interfaces or environments) and their dependency with activity-domain of learning. Results are discussed in terms of both design and assessment recommendations, promoting a multi-disciplinary approach combining educational sciences, </t>
    </r>
    <r>
      <rPr>
        <rFont val="Times New Roman"/>
        <color rgb="FF000000"/>
        <sz val="11.0"/>
        <u/>
      </rPr>
      <t>cognitive sciences</t>
    </r>
    <r>
      <rPr>
        <rFont val="Times New Roman"/>
        <color rgb="FF000000"/>
        <sz val="11.0"/>
      </rPr>
      <t xml:space="preserve"> and computer science to develop more accessible e-learning systems.</t>
    </r>
  </si>
  <si>
    <t>Sage Journals- Technology and Disability</t>
  </si>
  <si>
    <t>Sage Journals</t>
  </si>
  <si>
    <r>
      <rPr>
        <rFont val="Times New Roman"/>
        <color rgb="FF1155CC"/>
        <sz val="11.0"/>
        <u/>
      </rPr>
      <t>https://doi.org/10.1177/026765830101700405</t>
    </r>
  </si>
  <si>
    <t>Design of a Digital Application to Aid Hindi Alphabet Recognition/Formation for Children With Learning Disability</t>
  </si>
  <si>
    <t>IAFOR Research</t>
  </si>
  <si>
    <t>Plos One</t>
  </si>
  <si>
    <t>SciTePress</t>
  </si>
  <si>
    <r>
      <rPr>
        <rFont val="Times New Roman"/>
        <color rgb="FF1155CC"/>
        <sz val="11.0"/>
        <u/>
      </rPr>
      <t>10.14569/SpecialIssue.2014.040109</t>
    </r>
  </si>
  <si>
    <t>DiVA portal</t>
  </si>
  <si>
    <t>PressBooks</t>
  </si>
  <si>
    <r>
      <rPr>
        <rFont val="Times New Roman"/>
        <color rgb="FF000000"/>
        <sz val="11.0"/>
      </rPr>
      <t>Nuraini Jamil</t>
    </r>
    <r>
      <rPr>
        <rFont val="Times New Roman"/>
        <color rgb="FF000000"/>
        <sz val="11.0"/>
      </rPr>
      <t xml:space="preserve">; </t>
    </r>
    <r>
      <rPr>
        <rFont val="Times New Roman"/>
        <color rgb="FF000000"/>
        <sz val="11.0"/>
      </rPr>
      <t>Abdelkader Nasreddine Belkacem</t>
    </r>
    <r>
      <rPr>
        <rFont val="Times New Roman"/>
        <color rgb="FF000000"/>
        <sz val="11.0"/>
      </rPr>
      <t xml:space="preserve">; </t>
    </r>
    <r>
      <rPr>
        <rFont val="Times New Roman"/>
        <color rgb="FF000000"/>
        <sz val="11.0"/>
      </rPr>
      <t>Sofia Ouhbi</t>
    </r>
    <r>
      <rPr>
        <rFont val="Times New Roman"/>
        <color rgb="FF000000"/>
        <sz val="11.0"/>
      </rPr>
      <t xml:space="preserve">; </t>
    </r>
    <r>
      <rPr>
        <rFont val="Times New Roman"/>
        <color rgb="FF000000"/>
        <sz val="11.0"/>
      </rPr>
      <t>Christoph Guger</t>
    </r>
  </si>
  <si>
    <r>
      <rPr>
        <rFont val="Times New Roman"/>
        <color rgb="FF1155CC"/>
        <sz val="11.0"/>
        <u/>
      </rPr>
      <t>https://doi.org/10.1177/001440291456</t>
    </r>
  </si>
  <si>
    <r>
      <rPr>
        <rFont val="Times New Roman"/>
        <color rgb="FF000000"/>
        <sz val="11.0"/>
      </rPr>
      <t xml:space="preserve">Ellen Schaffner, </t>
    </r>
    <r>
      <rPr>
        <rFont val="Times New Roman"/>
        <color rgb="FF000000"/>
        <sz val="11.0"/>
        <u/>
      </rPr>
      <t>Ulrich Schiefele</t>
    </r>
  </si>
  <si>
    <t xml:space="preserve">ACL </t>
  </si>
  <si>
    <t>American Economic Association</t>
  </si>
  <si>
    <t>Core UK</t>
  </si>
  <si>
    <r>
      <rPr>
        <rFont val="Times New Roman"/>
        <color rgb="FF000000"/>
        <sz val="11.0"/>
      </rPr>
      <t>Isabel Espinosa-Zaragoza</t>
    </r>
    <r>
      <rPr>
        <rFont val="Times New Roman"/>
        <color rgb="FF000000"/>
        <sz val="11.0"/>
      </rPr>
      <t xml:space="preserve">, </t>
    </r>
    <r>
      <rPr>
        <rFont val="Times New Roman"/>
        <color rgb="FF000000"/>
        <sz val="11.0"/>
      </rPr>
      <t>José Abreu-Salas</t>
    </r>
    <r>
      <rPr>
        <rFont val="Times New Roman"/>
        <color rgb="FF000000"/>
        <sz val="11.0"/>
      </rPr>
      <t xml:space="preserve">, </t>
    </r>
    <r>
      <rPr>
        <rFont val="Times New Roman"/>
        <color rgb="FF000000"/>
        <sz val="11.0"/>
      </rPr>
      <t>Elena Lloret</t>
    </r>
    <r>
      <rPr>
        <rFont val="Times New Roman"/>
        <color rgb="FF000000"/>
        <sz val="11.0"/>
      </rPr>
      <t xml:space="preserve">, </t>
    </r>
    <r>
      <rPr>
        <rFont val="Times New Roman"/>
        <color rgb="FF000000"/>
        <sz val="11.0"/>
      </rPr>
      <t>Paloma Moreda</t>
    </r>
    <r>
      <rPr>
        <rFont val="Times New Roman"/>
        <color rgb="FF000000"/>
        <sz val="11.0"/>
      </rPr>
      <t xml:space="preserve">, </t>
    </r>
    <r>
      <rPr>
        <rFont val="Times New Roman"/>
        <color rgb="FF000000"/>
        <sz val="11.0"/>
      </rPr>
      <t>Manuel Palomar</t>
    </r>
  </si>
  <si>
    <r>
      <rPr>
        <rFont val="Times New Roman"/>
        <color rgb="FF000000"/>
        <sz val="11.0"/>
      </rPr>
      <t>Breisen Fantino E</t>
    </r>
    <r>
      <rPr>
        <rFont val="Times New Roman"/>
        <color rgb="FF000000"/>
        <sz val="11.0"/>
      </rPr>
      <t xml:space="preserve">; </t>
    </r>
    <r>
      <rPr>
        <rFont val="Times New Roman"/>
        <color rgb="FF000000"/>
        <sz val="11.0"/>
      </rPr>
      <t>Deepakraj S</t>
    </r>
    <r>
      <rPr>
        <rFont val="Times New Roman"/>
        <color rgb="FF000000"/>
        <sz val="11.0"/>
      </rPr>
      <t xml:space="preserve">; </t>
    </r>
    <r>
      <rPr>
        <rFont val="Times New Roman"/>
        <color rgb="FF000000"/>
        <sz val="11.0"/>
      </rPr>
      <t>Radha Krishnan K R</t>
    </r>
  </si>
  <si>
    <t>Advances in â€¦</t>
  </si>
  <si>
    <t>ACM Computing Surveys (CSUR)</t>
  </si>
  <si>
    <t>Multimedia Tools and Applications</t>
  </si>
  <si>
    <t>ACM library</t>
  </si>
  <si>
    <t>Arxiv preprint Arxiv â€¦</t>
  </si>
  <si>
    <t>IEEE â€¦</t>
  </si>
  <si>
    <t>Proceedings of the 26th â€¦</t>
  </si>
  <si>
    <t>â€¦ Language Resources â€¦</t>
  </si>
  <si>
    <t>â€¦ on Asian and Low-Resource â€¦</t>
  </si>
  <si>
    <t>Proceedings Speech for â€¦</t>
  </si>
  <si>
    <t>Applied AI â€¦</t>
  </si>
  <si>
    <t>Scientific Reports</t>
  </si>
  <si>
    <t>AIP Conference Proceedings</t>
  </si>
  <si>
    <t>IJSTR (International Journal of Scientific &amp; Technology Research), 2020</t>
  </si>
  <si>
    <t>The National High School Journal of Science (NHSJS) Reports</t>
  </si>
  <si>
    <t>Frontiers in Child and Adolescent Psychiatry</t>
  </si>
  <si>
    <r>
      <rPr>
        <rFont val="Times New Roman"/>
        <color rgb="FF1155CC"/>
        <sz val="11.0"/>
        <u/>
      </rPr>
      <t>https://www.frontiersin.org/articles/10.3389/frcha.2025.1519753/full</t>
    </r>
  </si>
  <si>
    <t>Annals of Dyslexia</t>
  </si>
  <si>
    <t>IEEE Transactions on Emerging Topics in Computational Intelligence (assumed from content style)</t>
  </si>
  <si>
    <t>Reading and Writing: An Interdisciplinary Journal</t>
  </si>
  <si>
    <t>TTS + Text Simplification</t>
  </si>
  <si>
    <t>IEEE</t>
  </si>
  <si>
    <t>Dimension</t>
  </si>
  <si>
    <t>Frequency</t>
  </si>
  <si>
    <t>AI solutions</t>
  </si>
  <si>
    <t>Cognitive Assessment and Design</t>
  </si>
  <si>
    <t>Text Simplification</t>
  </si>
  <si>
    <t>TTS + text simpilcation</t>
  </si>
  <si>
    <t>Cognitive Assesment</t>
  </si>
  <si>
    <t>Text Summaziraton</t>
  </si>
  <si>
    <t>10,9,17,23,21,13,16,14</t>
  </si>
  <si>
    <t xml:space="preserve"> </t>
  </si>
  <si>
    <t>Year</t>
  </si>
  <si>
    <t>No of Papers</t>
  </si>
</sst>
</file>

<file path=xl/styles.xml><?xml version="1.0" encoding="utf-8"?>
<styleSheet xmlns="http://schemas.openxmlformats.org/spreadsheetml/2006/main" xmlns:x14ac="http://schemas.microsoft.com/office/spreadsheetml/2009/9/ac" xmlns:mc="http://schemas.openxmlformats.org/markup-compatibility/2006">
  <fonts count="62">
    <font>
      <sz val="10.0"/>
      <color rgb="FF000000"/>
      <name val="Arial"/>
      <scheme val="minor"/>
    </font>
    <font>
      <color theme="1"/>
      <name val="Arial"/>
      <scheme val="minor"/>
    </font>
    <font>
      <sz val="11.0"/>
      <color theme="1"/>
      <name val="Times New Roman"/>
    </font>
    <font>
      <sz val="11.0"/>
      <color rgb="FF000000"/>
      <name val="Times New Roman"/>
    </font>
    <font>
      <u/>
      <sz val="11.0"/>
      <color rgb="FF000000"/>
      <name val="Times New Roman"/>
    </font>
    <font>
      <u/>
      <sz val="11.0"/>
      <color rgb="FF000000"/>
      <name val="Times New Roman"/>
    </font>
    <font>
      <u/>
      <sz val="11.0"/>
      <color rgb="FF0000FF"/>
      <name val="Times New Roman"/>
    </font>
    <font>
      <u/>
      <sz val="11.0"/>
      <color rgb="FF1155CC"/>
      <name val="Times New Roman"/>
    </font>
    <font>
      <u/>
      <sz val="11.0"/>
      <color rgb="FF1155CC"/>
      <name val="Times New Roman"/>
    </font>
    <font>
      <u/>
      <sz val="11.0"/>
      <color rgb="FF333333"/>
      <name val="Times New Roman"/>
    </font>
    <font>
      <u/>
      <sz val="11.0"/>
      <color rgb="FF1155CC"/>
      <name val="Times New Roman"/>
    </font>
    <font>
      <sz val="11.0"/>
      <color rgb="FF333333"/>
      <name val="Times New Roman"/>
    </font>
    <font>
      <sz val="11.0"/>
      <color rgb="FF1C1D1E"/>
      <name val="Times New Roman"/>
    </font>
    <font>
      <u/>
      <sz val="11.0"/>
      <color rgb="FF1155CC"/>
      <name val="Times New Roman"/>
    </font>
    <font>
      <u/>
      <sz val="11.0"/>
      <color rgb="FF000000"/>
      <name val="Times New Roman"/>
    </font>
    <font>
      <sz val="11.0"/>
      <color rgb="FF212529"/>
      <name val="Times New Roman"/>
    </font>
    <font>
      <sz val="11.0"/>
      <color rgb="FF222222"/>
      <name val="Times New Roman"/>
    </font>
    <font>
      <sz val="11.0"/>
      <color rgb="FF1155CC"/>
      <name val="Times New Roman"/>
    </font>
    <font>
      <sz val="11.0"/>
      <color rgb="FF6B6B6B"/>
      <name val="Times New Roman"/>
    </font>
    <font>
      <u/>
      <sz val="11.0"/>
      <color rgb="FF1155CC"/>
      <name val="Times New Roman"/>
    </font>
    <font>
      <u/>
      <sz val="11.0"/>
      <color rgb="FF222222"/>
      <name val="Times New Roman"/>
    </font>
    <font>
      <u/>
      <sz val="11.0"/>
      <color rgb="FF222222"/>
      <name val="Times New Roman"/>
    </font>
    <font>
      <sz val="11.0"/>
      <color rgb="FF011120"/>
      <name val="Times New Roman"/>
    </font>
    <font>
      <u/>
      <sz val="11.0"/>
      <color rgb="FF0000FF"/>
      <name val="Times New Roman"/>
    </font>
    <font>
      <u/>
      <sz val="11.0"/>
      <color rgb="FF0000FF"/>
      <name val="Times New Roman"/>
    </font>
    <font>
      <u/>
      <sz val="11.0"/>
      <color rgb="FF333333"/>
      <name val="Times New Roman"/>
    </font>
    <font>
      <u/>
      <sz val="11.0"/>
      <color rgb="FF222222"/>
      <name val="Times New Roman"/>
    </font>
    <font>
      <b/>
      <sz val="11.0"/>
      <color rgb="FF444444"/>
      <name val="Times New Roman"/>
    </font>
    <font>
      <sz val="11.0"/>
      <color rgb="FF444444"/>
      <name val="Times New Roman"/>
    </font>
    <font>
      <u/>
      <sz val="11.0"/>
      <color rgb="FF0563C1"/>
      <name val="Times New Roman"/>
    </font>
    <font>
      <u/>
      <sz val="11.0"/>
      <color rgb="FF0563C1"/>
      <name val="Times New Roman"/>
    </font>
    <font>
      <u/>
      <sz val="11.0"/>
      <color rgb="FF0000FF"/>
      <name val="Times New Roman"/>
    </font>
    <font>
      <u/>
      <sz val="11.0"/>
      <color rgb="FF0563C1"/>
      <name val="Times New Roman"/>
    </font>
    <font>
      <u/>
      <sz val="11.0"/>
      <color rgb="FF0563C1"/>
      <name val="Times New Roman"/>
    </font>
    <font>
      <u/>
      <sz val="11.0"/>
      <color rgb="FF0000FF"/>
      <name val="Times New Roman"/>
    </font>
    <font>
      <u/>
      <sz val="11.0"/>
      <color rgb="FF0000FF"/>
      <name val="Times New Roman"/>
    </font>
    <font>
      <u/>
      <sz val="11.0"/>
      <color rgb="FF000000"/>
      <name val="Times New Roman"/>
    </font>
    <font>
      <u/>
      <sz val="11.0"/>
      <color rgb="FF0563C1"/>
      <name val="Times New Roman"/>
    </font>
    <font>
      <u/>
      <sz val="11.0"/>
      <color rgb="FF000000"/>
      <name val="Times New Roman"/>
    </font>
    <font>
      <u/>
      <sz val="11.0"/>
      <color rgb="FF000000"/>
      <name val="Times New Roman"/>
    </font>
    <font>
      <u/>
      <sz val="11.0"/>
      <color rgb="FF1155CC"/>
      <name val="Times New Roman"/>
    </font>
    <font>
      <u/>
      <sz val="11.0"/>
      <color rgb="FF1155CC"/>
      <name val="Times New Roman"/>
    </font>
    <font>
      <u/>
      <sz val="11.0"/>
      <color rgb="FF1155CC"/>
      <name val="Times New Roman"/>
    </font>
    <font>
      <u/>
      <sz val="11.0"/>
      <color rgb="FF1155CC"/>
      <name val="Times New Roman"/>
    </font>
    <font>
      <u/>
      <sz val="11.0"/>
      <color rgb="FF000000"/>
      <name val="Times New Roman"/>
    </font>
    <font>
      <u/>
      <sz val="11.0"/>
      <color rgb="FF1155CC"/>
      <name val="Times New Roman"/>
    </font>
    <font>
      <u/>
      <sz val="11.0"/>
      <color rgb="FF1155CC"/>
      <name val="Times New Roman"/>
    </font>
    <font>
      <u/>
      <sz val="11.0"/>
      <color rgb="FF222222"/>
      <name val="Times New Roman"/>
    </font>
    <font>
      <u/>
      <sz val="11.0"/>
      <color rgb="FF222222"/>
      <name val="Times New Roman"/>
    </font>
    <font>
      <u/>
      <sz val="11.0"/>
      <color rgb="FF0000FF"/>
      <name val="Times New Roman"/>
    </font>
    <font>
      <u/>
      <sz val="11.0"/>
      <color rgb="FF0563C1"/>
      <name val="Times New Roman"/>
    </font>
    <font>
      <u/>
      <sz val="11.0"/>
      <color rgb="FF0563C1"/>
      <name val="Times New Roman"/>
    </font>
    <font>
      <u/>
      <sz val="11.0"/>
      <color rgb="FF0000FF"/>
      <name val="Times New Roman"/>
    </font>
    <font>
      <u/>
      <sz val="11.0"/>
      <color rgb="FF0563C1"/>
      <name val="Times New Roman"/>
    </font>
    <font>
      <b/>
      <color theme="1"/>
      <name val="Arial"/>
      <scheme val="minor"/>
    </font>
    <font>
      <sz val="11.0"/>
      <color rgb="FF000000"/>
      <name val="Calibri"/>
    </font>
    <font>
      <u/>
      <sz val="11.0"/>
      <color rgb="FF0000FF"/>
      <name val="Times New Roman"/>
    </font>
    <font>
      <u/>
      <sz val="11.0"/>
      <color rgb="FF0563C1"/>
      <name val="Times New Roman"/>
    </font>
    <font>
      <u/>
      <color rgb="FF1155CC"/>
    </font>
    <font>
      <u/>
      <sz val="11.0"/>
      <color rgb="FF0563C1"/>
      <name val="Times New Roman"/>
    </font>
    <font>
      <u/>
      <sz val="11.0"/>
      <color rgb="FF0000FF"/>
      <name val="Times New Roman"/>
    </font>
    <font>
      <sz val="11.0"/>
      <color theme="1"/>
      <name val="Calibri"/>
    </font>
  </fonts>
  <fills count="8">
    <fill>
      <patternFill patternType="none"/>
    </fill>
    <fill>
      <patternFill patternType="lightGray"/>
    </fill>
    <fill>
      <patternFill patternType="solid">
        <fgColor rgb="FFFFFFFF"/>
        <bgColor rgb="FFFFFFFF"/>
      </patternFill>
    </fill>
    <fill>
      <patternFill patternType="solid">
        <fgColor rgb="FFF8F9FA"/>
        <bgColor rgb="FFF8F9FA"/>
      </patternFill>
    </fill>
    <fill>
      <patternFill patternType="solid">
        <fgColor rgb="FFFAFAFA"/>
        <bgColor rgb="FFFAFAFA"/>
      </patternFill>
    </fill>
    <fill>
      <patternFill patternType="solid">
        <fgColor rgb="FFF0F0F0"/>
        <bgColor rgb="FFF0F0F0"/>
      </patternFill>
    </fill>
    <fill>
      <patternFill patternType="solid">
        <fgColor rgb="FFEAD1DC"/>
        <bgColor rgb="FFEAD1DC"/>
      </patternFill>
    </fill>
    <fill>
      <patternFill patternType="solid">
        <fgColor rgb="FFD9EAD3"/>
        <bgColor rgb="FFD9EAD3"/>
      </patternFill>
    </fill>
  </fills>
  <borders count="2">
    <border/>
    <border>
      <left/>
      <right/>
      <top/>
      <bottom/>
    </border>
  </borders>
  <cellStyleXfs count="1">
    <xf borderId="0" fillId="0" fontId="0" numFmtId="0" applyAlignment="1" applyFont="1"/>
  </cellStyleXfs>
  <cellXfs count="162">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readingOrder="0" shrinkToFit="0" vertical="center" wrapText="0"/>
    </xf>
    <xf borderId="0" fillId="0" fontId="1" numFmtId="0" xfId="0" applyAlignment="1" applyFont="1">
      <alignment vertical="center"/>
    </xf>
    <xf borderId="0" fillId="2" fontId="2" numFmtId="0" xfId="0" applyAlignment="1" applyFill="1" applyFont="1">
      <alignment readingOrder="0" shrinkToFit="0" wrapText="0"/>
    </xf>
    <xf borderId="0" fillId="2" fontId="2" numFmtId="0" xfId="0" applyAlignment="1" applyFont="1">
      <alignment readingOrder="0"/>
    </xf>
    <xf borderId="0" fillId="2" fontId="2" numFmtId="0" xfId="0" applyFont="1"/>
    <xf borderId="0" fillId="2" fontId="3" numFmtId="0" xfId="0" applyAlignment="1" applyFont="1">
      <alignment readingOrder="0" shrinkToFit="0" wrapText="0"/>
    </xf>
    <xf borderId="0" fillId="2" fontId="3" numFmtId="0" xfId="0" applyAlignment="1" applyFont="1">
      <alignment readingOrder="0"/>
    </xf>
    <xf borderId="0" fillId="2" fontId="4" numFmtId="0" xfId="0" applyAlignment="1" applyFont="1">
      <alignment readingOrder="0"/>
    </xf>
    <xf borderId="0" fillId="2" fontId="5" numFmtId="0" xfId="0" applyAlignment="1" applyFont="1">
      <alignment readingOrder="0"/>
    </xf>
    <xf borderId="0" fillId="2" fontId="6" numFmtId="0" xfId="0" applyAlignment="1" applyFont="1">
      <alignment readingOrder="0"/>
    </xf>
    <xf borderId="0" fillId="2" fontId="7" numFmtId="0" xfId="0" applyAlignment="1" applyFont="1">
      <alignment readingOrder="0"/>
    </xf>
    <xf borderId="0" fillId="2" fontId="8" numFmtId="0" xfId="0" applyAlignment="1" applyFont="1">
      <alignment horizontal="left" readingOrder="0"/>
    </xf>
    <xf borderId="0" fillId="2" fontId="3" numFmtId="0" xfId="0" applyAlignment="1" applyFont="1">
      <alignment horizontal="left" readingOrder="0" shrinkToFit="0" wrapText="0"/>
    </xf>
    <xf borderId="0" fillId="2" fontId="3" numFmtId="0" xfId="0" applyAlignment="1" applyFont="1">
      <alignment horizontal="left" readingOrder="0"/>
    </xf>
    <xf borderId="0" fillId="0" fontId="3" numFmtId="0" xfId="0" applyAlignment="1" applyFont="1">
      <alignment readingOrder="0" shrinkToFit="0" vertical="bottom" wrapText="0"/>
    </xf>
    <xf borderId="0" fillId="2" fontId="9" numFmtId="0" xfId="0" applyAlignment="1" applyFont="1">
      <alignment horizontal="left" readingOrder="0"/>
    </xf>
    <xf borderId="0" fillId="2" fontId="10" numFmtId="0" xfId="0" applyAlignment="1" applyFont="1">
      <alignment horizontal="left" readingOrder="0"/>
    </xf>
    <xf borderId="0" fillId="2" fontId="3" numFmtId="0" xfId="0" applyAlignment="1" applyFont="1">
      <alignment readingOrder="0"/>
    </xf>
    <xf borderId="0" fillId="2" fontId="11" numFmtId="0" xfId="0" applyAlignment="1" applyFont="1">
      <alignment readingOrder="0"/>
    </xf>
    <xf borderId="0" fillId="2" fontId="12" numFmtId="0" xfId="0" applyAlignment="1" applyFont="1">
      <alignment readingOrder="0" shrinkToFit="0" wrapText="0"/>
    </xf>
    <xf borderId="0" fillId="2" fontId="12" numFmtId="0" xfId="0" applyAlignment="1" applyFont="1">
      <alignment readingOrder="0"/>
    </xf>
    <xf borderId="0" fillId="2" fontId="13" numFmtId="0" xfId="0" applyAlignment="1" applyFont="1">
      <alignment readingOrder="0" shrinkToFit="0" wrapText="1"/>
    </xf>
    <xf borderId="0" fillId="2" fontId="3" numFmtId="0" xfId="0" applyAlignment="1" applyFont="1">
      <alignment readingOrder="0"/>
    </xf>
    <xf borderId="0" fillId="2" fontId="14" numFmtId="0" xfId="0" applyAlignment="1" applyFont="1">
      <alignment horizontal="left" readingOrder="0" shrinkToFit="0" wrapText="0"/>
    </xf>
    <xf borderId="0" fillId="0" fontId="15" numFmtId="0" xfId="0" applyAlignment="1" applyFont="1">
      <alignment horizontal="left" readingOrder="0"/>
    </xf>
    <xf borderId="1" fillId="2" fontId="2" numFmtId="0" xfId="0" applyBorder="1" applyFont="1"/>
    <xf borderId="0" fillId="2" fontId="3" numFmtId="0" xfId="0" applyAlignment="1" applyFont="1">
      <alignment shrinkToFit="0" vertical="bottom" wrapText="0"/>
    </xf>
    <xf borderId="0" fillId="2" fontId="3" numFmtId="0" xfId="0" applyAlignment="1" applyFont="1">
      <alignment readingOrder="0" vertical="bottom"/>
    </xf>
    <xf borderId="0" fillId="2" fontId="16" numFmtId="0" xfId="0" applyAlignment="1" applyFont="1">
      <alignment readingOrder="0"/>
    </xf>
    <xf borderId="0" fillId="2" fontId="2" numFmtId="0" xfId="0" applyAlignment="1" applyFont="1">
      <alignment shrinkToFit="0" vertical="bottom" wrapText="0"/>
    </xf>
    <xf borderId="0" fillId="2" fontId="3" numFmtId="0" xfId="0" applyAlignment="1" applyFont="1">
      <alignment vertical="bottom"/>
    </xf>
    <xf borderId="0" fillId="2" fontId="15" numFmtId="0" xfId="0" applyAlignment="1" applyFont="1">
      <alignment horizontal="left" readingOrder="0"/>
    </xf>
    <xf borderId="0" fillId="2" fontId="11" numFmtId="0" xfId="0" applyAlignment="1" applyFont="1">
      <alignment readingOrder="0" shrinkToFit="0" wrapText="0"/>
    </xf>
    <xf borderId="0" fillId="2" fontId="11" numFmtId="0" xfId="0" applyAlignment="1" applyFont="1">
      <alignment readingOrder="0"/>
    </xf>
    <xf borderId="0" fillId="2" fontId="17" numFmtId="0" xfId="0" applyAlignment="1" applyFont="1">
      <alignment readingOrder="0"/>
    </xf>
    <xf borderId="0" fillId="2" fontId="18" numFmtId="0" xfId="0" applyAlignment="1" applyFont="1">
      <alignment readingOrder="0"/>
    </xf>
    <xf borderId="0" fillId="2" fontId="11" numFmtId="0" xfId="0" applyAlignment="1" applyFont="1">
      <alignment readingOrder="0"/>
    </xf>
    <xf borderId="0" fillId="2" fontId="19" numFmtId="0" xfId="0" applyAlignment="1" applyFont="1">
      <alignment readingOrder="0"/>
    </xf>
    <xf borderId="0" fillId="2" fontId="11" numFmtId="0" xfId="0" applyAlignment="1" applyFont="1">
      <alignment horizontal="left" readingOrder="0" shrinkToFit="0" wrapText="0"/>
    </xf>
    <xf borderId="0" fillId="2" fontId="11" numFmtId="0" xfId="0" applyAlignment="1" applyFont="1">
      <alignment horizontal="left" readingOrder="0"/>
    </xf>
    <xf borderId="0" fillId="2" fontId="16" numFmtId="0" xfId="0" applyAlignment="1" applyFont="1">
      <alignment readingOrder="0" shrinkToFit="0" wrapText="0"/>
    </xf>
    <xf borderId="0" fillId="2" fontId="16" numFmtId="0" xfId="0" applyAlignment="1" applyFont="1">
      <alignment readingOrder="0"/>
    </xf>
    <xf borderId="0" fillId="2" fontId="20" numFmtId="0" xfId="0" applyAlignment="1" applyFont="1">
      <alignment readingOrder="0" shrinkToFit="0" wrapText="1"/>
    </xf>
    <xf borderId="0" fillId="2" fontId="21" numFmtId="0" xfId="0" applyAlignment="1" applyFont="1">
      <alignment readingOrder="0"/>
    </xf>
    <xf borderId="0" fillId="2" fontId="22" numFmtId="0" xfId="0" applyAlignment="1" applyFont="1">
      <alignment readingOrder="0"/>
    </xf>
    <xf borderId="0" fillId="0" fontId="2" numFmtId="0" xfId="0" applyAlignment="1" applyFont="1">
      <alignment horizontal="right" vertical="bottom"/>
    </xf>
    <xf borderId="0" fillId="0" fontId="2" numFmtId="0" xfId="0" applyAlignment="1" applyFont="1">
      <alignment readingOrder="0" vertical="bottom"/>
    </xf>
    <xf borderId="0" fillId="2" fontId="23" numFmtId="0" xfId="0" applyAlignment="1" applyFont="1">
      <alignment readingOrder="0"/>
    </xf>
    <xf borderId="1" fillId="2" fontId="2" numFmtId="0" xfId="0" applyAlignment="1" applyBorder="1" applyFont="1">
      <alignment vertical="bottom"/>
    </xf>
    <xf borderId="0" fillId="0" fontId="24" numFmtId="0" xfId="0" applyAlignment="1" applyFont="1">
      <alignment readingOrder="0"/>
    </xf>
    <xf borderId="0" fillId="0" fontId="2" numFmtId="0" xfId="0" applyAlignment="1" applyFont="1">
      <alignment readingOrder="0"/>
    </xf>
    <xf borderId="0" fillId="2" fontId="15" numFmtId="0" xfId="0" applyAlignment="1" applyFont="1">
      <alignment horizontal="left" readingOrder="0"/>
    </xf>
    <xf borderId="0" fillId="3" fontId="15" numFmtId="0" xfId="0" applyAlignment="1" applyFill="1" applyFont="1">
      <alignment horizontal="left" readingOrder="0"/>
    </xf>
    <xf borderId="0" fillId="2" fontId="2" numFmtId="0" xfId="0" applyAlignment="1" applyFont="1">
      <alignment shrinkToFit="0" wrapText="0"/>
    </xf>
    <xf borderId="0" fillId="0" fontId="2" numFmtId="0" xfId="0" applyAlignment="1" applyFont="1">
      <alignment vertical="bottom"/>
    </xf>
    <xf borderId="0" fillId="4" fontId="11" numFmtId="0" xfId="0" applyAlignment="1" applyFill="1" applyFont="1">
      <alignment readingOrder="0"/>
    </xf>
    <xf borderId="0" fillId="5" fontId="25" numFmtId="0" xfId="0" applyAlignment="1" applyFill="1" applyFont="1">
      <alignment horizontal="left" readingOrder="0"/>
    </xf>
    <xf borderId="0" fillId="2" fontId="26" numFmtId="0" xfId="0" applyAlignment="1" applyFont="1">
      <alignment horizontal="left" readingOrder="0"/>
    </xf>
    <xf borderId="0" fillId="0" fontId="27" numFmtId="0" xfId="0" applyAlignment="1" applyFont="1">
      <alignment readingOrder="0"/>
    </xf>
    <xf borderId="0" fillId="0" fontId="28" numFmtId="0" xfId="0" applyAlignment="1" applyFont="1">
      <alignment readingOrder="0"/>
    </xf>
    <xf borderId="1" fillId="0" fontId="2" numFmtId="0" xfId="0" applyAlignment="1" applyBorder="1" applyFont="1">
      <alignment shrinkToFit="0" vertical="bottom" wrapText="0"/>
    </xf>
    <xf borderId="1" fillId="0" fontId="2" numFmtId="0" xfId="0" applyAlignment="1" applyBorder="1" applyFont="1">
      <alignment horizontal="right" vertical="bottom"/>
    </xf>
    <xf borderId="1" fillId="0" fontId="2" numFmtId="0" xfId="0" applyAlignment="1" applyBorder="1" applyFont="1">
      <alignment vertical="bottom"/>
    </xf>
    <xf borderId="1" fillId="0" fontId="2" numFmtId="0" xfId="0" applyAlignment="1" applyBorder="1" applyFont="1">
      <alignment readingOrder="0" vertical="bottom"/>
    </xf>
    <xf borderId="1" fillId="0" fontId="29" numFmtId="0" xfId="0" applyAlignment="1" applyBorder="1" applyFont="1">
      <alignment vertical="bottom"/>
    </xf>
    <xf borderId="1" fillId="0" fontId="30" numFmtId="0" xfId="0" applyAlignment="1" applyBorder="1" applyFont="1">
      <alignment readingOrder="0" vertical="bottom"/>
    </xf>
    <xf borderId="1" fillId="0" fontId="31" numFmtId="0" xfId="0" applyAlignment="1" applyBorder="1" applyFont="1">
      <alignment readingOrder="0" vertical="bottom"/>
    </xf>
    <xf borderId="0" fillId="0" fontId="3" numFmtId="0" xfId="0" applyAlignment="1" applyFont="1">
      <alignment shrinkToFit="0" vertical="bottom" wrapText="0"/>
    </xf>
    <xf borderId="0" fillId="0" fontId="3" numFmtId="0" xfId="0" applyAlignment="1" applyFont="1">
      <alignment readingOrder="0"/>
    </xf>
    <xf borderId="0" fillId="0" fontId="16" numFmtId="0" xfId="0" applyAlignment="1" applyFont="1">
      <alignment readingOrder="0"/>
    </xf>
    <xf borderId="0" fillId="0" fontId="32" numFmtId="0" xfId="0" applyAlignment="1" applyFont="1">
      <alignment vertical="bottom"/>
    </xf>
    <xf borderId="0" fillId="0" fontId="33" numFmtId="0" xfId="0" applyAlignment="1" applyFont="1">
      <alignment readingOrder="0" vertical="bottom"/>
    </xf>
    <xf borderId="0" fillId="0" fontId="2" numFmtId="0" xfId="0" applyAlignment="1" applyFont="1">
      <alignment readingOrder="0"/>
    </xf>
    <xf borderId="0" fillId="0" fontId="11" numFmtId="0" xfId="0" applyAlignment="1" applyFont="1">
      <alignment readingOrder="0"/>
    </xf>
    <xf borderId="0" fillId="2" fontId="34" numFmtId="0" xfId="0" applyAlignment="1" applyFont="1">
      <alignment readingOrder="0" vertical="bottom"/>
    </xf>
    <xf borderId="0" fillId="0" fontId="2" numFmtId="0" xfId="0" applyFont="1"/>
    <xf borderId="0" fillId="0" fontId="35" numFmtId="0" xfId="0" applyAlignment="1" applyFont="1">
      <alignment readingOrder="0" vertical="bottom"/>
    </xf>
    <xf borderId="0" fillId="0" fontId="3" numFmtId="0" xfId="0" applyAlignment="1" applyFont="1">
      <alignment readingOrder="0" shrinkToFit="0" wrapText="0"/>
    </xf>
    <xf borderId="0" fillId="0" fontId="2" numFmtId="0" xfId="0" applyAlignment="1" applyFont="1">
      <alignment shrinkToFit="0" vertical="bottom" wrapText="0"/>
    </xf>
    <xf borderId="0" fillId="0" fontId="3" numFmtId="0" xfId="0" applyAlignment="1" applyFont="1">
      <alignment horizontal="right" readingOrder="0" shrinkToFit="0" vertical="bottom" wrapText="0"/>
    </xf>
    <xf borderId="0" fillId="0" fontId="36" numFmtId="0" xfId="0" applyAlignment="1" applyFont="1">
      <alignment readingOrder="0" shrinkToFit="0" vertical="bottom" wrapText="0"/>
    </xf>
    <xf borderId="0" fillId="0" fontId="2" numFmtId="0" xfId="0" applyAlignment="1" applyFont="1">
      <alignment horizontal="right" readingOrder="0" vertical="bottom"/>
    </xf>
    <xf borderId="0" fillId="0" fontId="37" numFmtId="0" xfId="0" applyAlignment="1" applyFont="1">
      <alignment readingOrder="0" vertical="bottom"/>
    </xf>
    <xf borderId="0" fillId="6" fontId="2" numFmtId="0" xfId="0" applyAlignment="1" applyFill="1" applyFont="1">
      <alignment readingOrder="0"/>
    </xf>
    <xf borderId="0" fillId="7" fontId="3" numFmtId="0" xfId="0" applyAlignment="1" applyFill="1" applyFont="1">
      <alignment readingOrder="0"/>
    </xf>
    <xf borderId="0" fillId="7" fontId="38" numFmtId="0" xfId="0" applyAlignment="1" applyFont="1">
      <alignment readingOrder="0"/>
    </xf>
    <xf borderId="0" fillId="7" fontId="39" numFmtId="0" xfId="0" applyAlignment="1" applyFont="1">
      <alignment readingOrder="0"/>
    </xf>
    <xf borderId="0" fillId="7" fontId="40" numFmtId="0" xfId="0" applyAlignment="1" applyFont="1">
      <alignment readingOrder="0"/>
    </xf>
    <xf borderId="0" fillId="7" fontId="2" numFmtId="0" xfId="0" applyAlignment="1" applyFont="1">
      <alignment readingOrder="0"/>
    </xf>
    <xf borderId="0" fillId="0" fontId="2" numFmtId="0" xfId="0" applyAlignment="1" applyFont="1">
      <alignment horizontal="center" readingOrder="0"/>
    </xf>
    <xf borderId="0" fillId="0" fontId="2" numFmtId="0" xfId="0" applyAlignment="1" applyFont="1">
      <alignment horizontal="center"/>
    </xf>
    <xf borderId="0" fillId="7" fontId="41" numFmtId="0" xfId="0" applyAlignment="1" applyFont="1">
      <alignment horizontal="left" readingOrder="0"/>
    </xf>
    <xf borderId="0" fillId="7" fontId="42" numFmtId="0" xfId="0" applyAlignment="1" applyFont="1">
      <alignment horizontal="left" readingOrder="0"/>
    </xf>
    <xf borderId="0" fillId="7" fontId="3" numFmtId="0" xfId="0" applyAlignment="1" applyFont="1">
      <alignment readingOrder="0"/>
    </xf>
    <xf borderId="0" fillId="7" fontId="3" numFmtId="0" xfId="0" applyAlignment="1" applyFont="1">
      <alignment horizontal="left" readingOrder="0"/>
    </xf>
    <xf borderId="0" fillId="7" fontId="17" numFmtId="0" xfId="0" applyAlignment="1" applyFont="1">
      <alignment readingOrder="0"/>
    </xf>
    <xf borderId="0" fillId="7" fontId="3" numFmtId="0" xfId="0" applyAlignment="1" applyFont="1">
      <alignment readingOrder="0" shrinkToFit="0" wrapText="1"/>
    </xf>
    <xf borderId="0" fillId="7" fontId="3" numFmtId="0" xfId="0" applyAlignment="1" applyFont="1">
      <alignment readingOrder="0"/>
    </xf>
    <xf borderId="0" fillId="0" fontId="43" numFmtId="0" xfId="0" applyAlignment="1" applyFont="1">
      <alignment readingOrder="0"/>
    </xf>
    <xf borderId="0" fillId="0" fontId="3" numFmtId="0" xfId="0" applyAlignment="1" applyFont="1">
      <alignment readingOrder="0"/>
    </xf>
    <xf borderId="0" fillId="7" fontId="44" numFmtId="0" xfId="0" applyAlignment="1" applyFont="1">
      <alignment horizontal="left" readingOrder="0"/>
    </xf>
    <xf borderId="0" fillId="7" fontId="3" numFmtId="0" xfId="0" applyAlignment="1" applyFont="1">
      <alignment vertical="bottom"/>
    </xf>
    <xf borderId="0" fillId="7" fontId="3" numFmtId="0" xfId="0" applyAlignment="1" applyFont="1">
      <alignment readingOrder="0" vertical="bottom"/>
    </xf>
    <xf borderId="0" fillId="7" fontId="3" numFmtId="0" xfId="0" applyAlignment="1" applyFont="1">
      <alignment vertical="bottom"/>
    </xf>
    <xf borderId="0" fillId="7" fontId="3" numFmtId="0" xfId="0" applyAlignment="1" applyFont="1">
      <alignment horizontal="left" readingOrder="0"/>
    </xf>
    <xf borderId="0" fillId="7" fontId="45" numFmtId="0" xfId="0" applyAlignment="1" applyFont="1">
      <alignment readingOrder="0" shrinkToFit="0" wrapText="1"/>
    </xf>
    <xf borderId="0" fillId="7" fontId="3" numFmtId="0" xfId="0" applyAlignment="1" applyFont="1">
      <alignment readingOrder="0"/>
    </xf>
    <xf borderId="0" fillId="7" fontId="3" numFmtId="0" xfId="0" applyFont="1"/>
    <xf borderId="0" fillId="7" fontId="3" numFmtId="0" xfId="0" applyFont="1"/>
    <xf borderId="0" fillId="7" fontId="2" numFmtId="0" xfId="0" applyFont="1"/>
    <xf borderId="0" fillId="7" fontId="46" numFmtId="0" xfId="0" applyFont="1"/>
    <xf borderId="0" fillId="7" fontId="47" numFmtId="0" xfId="0" applyAlignment="1" applyFont="1">
      <alignment readingOrder="0" shrinkToFit="0" wrapText="1"/>
    </xf>
    <xf borderId="0" fillId="7" fontId="48" numFmtId="0" xfId="0" applyAlignment="1" applyFont="1">
      <alignment readingOrder="0"/>
    </xf>
    <xf borderId="0" fillId="7" fontId="49" numFmtId="0" xfId="0" applyAlignment="1" applyFont="1">
      <alignment readingOrder="0"/>
    </xf>
    <xf borderId="0" fillId="7" fontId="50" numFmtId="0" xfId="0" applyAlignment="1" applyFont="1">
      <alignment vertical="bottom"/>
    </xf>
    <xf borderId="0" fillId="2" fontId="3" numFmtId="0" xfId="0" applyAlignment="1" applyFont="1">
      <alignment shrinkToFit="0" vertical="bottom" wrapText="0"/>
    </xf>
    <xf borderId="0" fillId="0" fontId="3" numFmtId="0" xfId="0" applyAlignment="1" applyFont="1">
      <alignment horizontal="right" vertical="bottom"/>
    </xf>
    <xf borderId="0" fillId="0" fontId="3" numFmtId="0" xfId="0" applyAlignment="1" applyFont="1">
      <alignment readingOrder="0" vertical="bottom"/>
    </xf>
    <xf borderId="0" fillId="2" fontId="3" numFmtId="0" xfId="0" applyFont="1"/>
    <xf borderId="0" fillId="7" fontId="51" numFmtId="0" xfId="0" applyAlignment="1" applyFont="1">
      <alignment readingOrder="0" vertical="bottom"/>
    </xf>
    <xf borderId="0" fillId="0" fontId="3" numFmtId="0" xfId="0" applyAlignment="1" applyFont="1">
      <alignment vertical="bottom"/>
    </xf>
    <xf borderId="1" fillId="7" fontId="3" numFmtId="0" xfId="0" applyAlignment="1" applyBorder="1" applyFont="1">
      <alignment vertical="bottom"/>
    </xf>
    <xf borderId="1" fillId="7" fontId="3" numFmtId="0" xfId="0" applyAlignment="1" applyBorder="1" applyFont="1">
      <alignment horizontal="right" vertical="bottom"/>
    </xf>
    <xf borderId="1" fillId="7" fontId="2" numFmtId="0" xfId="0" applyAlignment="1" applyBorder="1" applyFont="1">
      <alignment readingOrder="0" vertical="bottom"/>
    </xf>
    <xf borderId="0" fillId="7" fontId="2" numFmtId="0" xfId="0" applyAlignment="1" applyFont="1">
      <alignment horizontal="center" readingOrder="0" vertical="bottom"/>
    </xf>
    <xf borderId="0" fillId="7" fontId="2" numFmtId="0" xfId="0" applyAlignment="1" applyFont="1">
      <alignment horizontal="center" readingOrder="0"/>
    </xf>
    <xf borderId="1" fillId="0" fontId="3" numFmtId="0" xfId="0" applyAlignment="1" applyBorder="1" applyFont="1">
      <alignment vertical="bottom"/>
    </xf>
    <xf borderId="1" fillId="0" fontId="3" numFmtId="0" xfId="0" applyAlignment="1" applyBorder="1" applyFont="1">
      <alignment horizontal="right" vertical="bottom"/>
    </xf>
    <xf borderId="0" fillId="0" fontId="2" numFmtId="0" xfId="0" applyAlignment="1" applyFont="1">
      <alignment horizontal="center" readingOrder="0" vertical="bottom"/>
    </xf>
    <xf borderId="1" fillId="7" fontId="2" numFmtId="0" xfId="0" applyAlignment="1" applyBorder="1" applyFont="1">
      <alignment vertical="bottom"/>
    </xf>
    <xf borderId="1" fillId="0" fontId="52" numFmtId="0" xfId="0" applyAlignment="1" applyBorder="1" applyFont="1">
      <alignment readingOrder="0" vertical="bottom"/>
    </xf>
    <xf borderId="0" fillId="7" fontId="3" numFmtId="0" xfId="0" applyAlignment="1" applyFont="1">
      <alignment shrinkToFit="0" vertical="bottom" wrapText="0"/>
    </xf>
    <xf borderId="0" fillId="7" fontId="3" numFmtId="0" xfId="0" applyAlignment="1" applyFont="1">
      <alignment horizontal="right" vertical="bottom"/>
    </xf>
    <xf borderId="0" fillId="7" fontId="2" numFmtId="0" xfId="0" applyAlignment="1" applyFont="1">
      <alignment vertical="bottom"/>
    </xf>
    <xf borderId="0" fillId="7" fontId="2" numFmtId="0" xfId="0" applyAlignment="1" applyFont="1">
      <alignment readingOrder="0" vertical="bottom"/>
    </xf>
    <xf borderId="0" fillId="7" fontId="1" numFmtId="0" xfId="0" applyAlignment="1" applyFont="1">
      <alignment readingOrder="0"/>
    </xf>
    <xf borderId="0" fillId="7" fontId="2" numFmtId="0" xfId="0" applyAlignment="1" applyFont="1">
      <alignment horizontal="right" readingOrder="0" vertical="bottom"/>
    </xf>
    <xf borderId="0" fillId="7" fontId="53" numFmtId="0" xfId="0" applyAlignment="1" applyFont="1">
      <alignment readingOrder="0" vertical="bottom"/>
    </xf>
    <xf borderId="0" fillId="7" fontId="1" numFmtId="0" xfId="0" applyFont="1"/>
    <xf borderId="0" fillId="0" fontId="3" numFmtId="0" xfId="0" applyFont="1"/>
    <xf borderId="0" fillId="0" fontId="54" numFmtId="0" xfId="0" applyAlignment="1" applyFont="1">
      <alignment horizontal="center" readingOrder="0"/>
    </xf>
    <xf borderId="0" fillId="0" fontId="55" numFmtId="0" xfId="0" applyAlignment="1" applyFont="1">
      <alignment readingOrder="0" shrinkToFit="0" vertical="bottom" wrapText="0"/>
    </xf>
    <xf borderId="0" fillId="0" fontId="55" numFmtId="0" xfId="0" applyAlignment="1" applyFont="1">
      <alignment horizontal="right" readingOrder="0" shrinkToFit="0" vertical="bottom" wrapText="0"/>
    </xf>
    <xf borderId="0" fillId="7" fontId="56" numFmtId="0" xfId="0" applyAlignment="1" applyFont="1">
      <alignment horizontal="left" readingOrder="0"/>
    </xf>
    <xf borderId="0" fillId="7" fontId="16" numFmtId="0" xfId="0" applyAlignment="1" applyFont="1">
      <alignment readingOrder="0"/>
    </xf>
    <xf borderId="0" fillId="7" fontId="2" numFmtId="0" xfId="0" applyAlignment="1" applyFont="1">
      <alignment readingOrder="0"/>
    </xf>
    <xf borderId="0" fillId="7" fontId="11" numFmtId="0" xfId="0" applyAlignment="1" applyFont="1">
      <alignment readingOrder="0"/>
    </xf>
    <xf borderId="1" fillId="7" fontId="2" numFmtId="0" xfId="0" applyAlignment="1" applyBorder="1" applyFont="1">
      <alignment horizontal="right" vertical="bottom"/>
    </xf>
    <xf borderId="1" fillId="7" fontId="57" numFmtId="0" xfId="0" applyAlignment="1" applyBorder="1" applyFont="1">
      <alignment vertical="bottom"/>
    </xf>
    <xf borderId="0" fillId="7" fontId="58" numFmtId="0" xfId="0" applyAlignment="1" applyFont="1">
      <alignment readingOrder="0"/>
    </xf>
    <xf borderId="1" fillId="7" fontId="59" numFmtId="0" xfId="0" applyAlignment="1" applyBorder="1" applyFont="1">
      <alignment readingOrder="0" vertical="bottom"/>
    </xf>
    <xf borderId="1" fillId="7" fontId="60" numFmtId="0" xfId="0" applyAlignment="1" applyBorder="1" applyFont="1">
      <alignment readingOrder="0" vertical="bottom"/>
    </xf>
    <xf borderId="0" fillId="7" fontId="2" numFmtId="0" xfId="0" applyAlignment="1" applyFont="1">
      <alignment shrinkToFit="0" vertical="bottom" wrapText="0"/>
    </xf>
    <xf borderId="0" fillId="7" fontId="2" numFmtId="0" xfId="0" applyAlignment="1" applyFont="1">
      <alignment horizontal="right" vertical="bottom"/>
    </xf>
    <xf borderId="0" fillId="0" fontId="61" numFmtId="0" xfId="0" applyAlignment="1" applyFont="1">
      <alignment readingOrder="0"/>
    </xf>
    <xf borderId="0" fillId="0" fontId="1" numFmtId="0" xfId="0" applyAlignment="1" applyFont="1">
      <alignment horizontal="center" readingOrder="0" vertical="center"/>
    </xf>
    <xf borderId="0" fillId="0" fontId="1" numFmtId="0" xfId="0" applyAlignment="1" applyFont="1">
      <alignment horizontal="center" readingOrder="0"/>
    </xf>
    <xf borderId="0" fillId="0" fontId="1" numFmtId="0" xfId="0" applyAlignment="1" applyFont="1">
      <alignment readingOrder="0" vertical="center"/>
    </xf>
    <xf borderId="0" fillId="0" fontId="1" numFmtId="0" xfId="0" applyAlignment="1" applyFont="1">
      <alignment horizontal="center"/>
    </xf>
    <xf borderId="0" fillId="0" fontId="1"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Frequency vs. Dimension</a:t>
            </a:r>
          </a:p>
        </c:rich>
      </c:tx>
      <c:overlay val="0"/>
    </c:title>
    <c:plotArea>
      <c:layout/>
      <c:barChart>
        <c:barDir val="col"/>
        <c:ser>
          <c:idx val="0"/>
          <c:order val="0"/>
          <c:tx>
            <c:strRef>
              <c:f>'Sorting of Papers'!$B$1</c:f>
            </c:strRef>
          </c:tx>
          <c:spPr>
            <a:solidFill>
              <a:schemeClr val="accent1"/>
            </a:solidFill>
            <a:ln cmpd="sng">
              <a:solidFill>
                <a:srgbClr val="000000"/>
              </a:solidFill>
            </a:ln>
          </c:spPr>
          <c:cat>
            <c:strRef>
              <c:f>'Sorting of Papers'!$A$2:$A$10</c:f>
            </c:strRef>
          </c:cat>
          <c:val>
            <c:numRef>
              <c:f>'Sorting of Papers'!$B$2:$B$10</c:f>
              <c:numCache/>
            </c:numRef>
          </c:val>
        </c:ser>
        <c:axId val="829399782"/>
        <c:axId val="1007391337"/>
      </c:barChart>
      <c:catAx>
        <c:axId val="8293997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Dimension</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007391337"/>
      </c:catAx>
      <c:valAx>
        <c:axId val="10073913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Frequency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2939978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No of Papers identified on Text Simplification on a year</a:t>
            </a:r>
          </a:p>
        </c:rich>
      </c:tx>
      <c:overlay val="0"/>
    </c:title>
    <c:plotArea>
      <c:layout/>
      <c:barChart>
        <c:barDir val="col"/>
        <c:ser>
          <c:idx val="0"/>
          <c:order val="0"/>
          <c:spPr>
            <a:solidFill>
              <a:schemeClr val="accent1"/>
            </a:solidFill>
            <a:ln cmpd="sng">
              <a:solidFill>
                <a:srgbClr val="000000"/>
              </a:solidFill>
            </a:ln>
          </c:spPr>
          <c:cat>
            <c:strRef>
              <c:f>'Year of Publication'!$A$2:$A$20</c:f>
            </c:strRef>
          </c:cat>
          <c:val>
            <c:numRef>
              <c:f>'Year of Publication'!$B$2:$B$20</c:f>
              <c:numCache/>
            </c:numRef>
          </c:val>
        </c:ser>
        <c:axId val="1082787240"/>
        <c:axId val="1867250366"/>
      </c:barChart>
      <c:catAx>
        <c:axId val="10827872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c:txPr>
          <a:bodyPr/>
          <a:lstStyle/>
          <a:p>
            <a:pPr lvl="0">
              <a:defRPr b="0">
                <a:solidFill>
                  <a:srgbClr val="000000"/>
                </a:solidFill>
                <a:latin typeface="+mn-lt"/>
              </a:defRPr>
            </a:pPr>
          </a:p>
        </c:txPr>
        <c:crossAx val="1867250366"/>
      </c:catAx>
      <c:valAx>
        <c:axId val="18672503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No of Papers Published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82787240"/>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Chart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1819275</xdr:colOff>
      <xdr:row>137</xdr:row>
      <xdr:rowOff>19050</xdr:rowOff>
    </xdr:from>
    <xdr:ext cx="5715000" cy="3533775"/>
    <xdr:pic>
      <xdr:nvPicPr>
        <xdr:cNvPr id="1068860906"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361950</xdr:colOff>
      <xdr:row>3</xdr:row>
      <xdr:rowOff>114300</xdr:rowOff>
    </xdr:from>
    <xdr:ext cx="7162800" cy="294322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514350</xdr:colOff>
      <xdr:row>6</xdr:row>
      <xdr:rowOff>28575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oi.org/10.1007/s12046-022-01973-5" TargetMode="External"/><Relationship Id="rId42" Type="http://schemas.openxmlformats.org/officeDocument/2006/relationships/hyperlink" Target="https://doi.org/10.1111/jcal.12517" TargetMode="External"/><Relationship Id="rId41" Type="http://schemas.openxmlformats.org/officeDocument/2006/relationships/hyperlink" Target="https://doi.org/10.18653/v1/2020.louhi-1.13" TargetMode="External"/><Relationship Id="rId44" Type="http://schemas.openxmlformats.org/officeDocument/2006/relationships/hyperlink" Target="https://arxiv.org/abs/2412.01293" TargetMode="External"/><Relationship Id="rId43" Type="http://schemas.openxmlformats.org/officeDocument/2006/relationships/hyperlink" Target="https://doi.org/10.1145/3442695" TargetMode="External"/><Relationship Id="rId46" Type="http://schemas.openxmlformats.org/officeDocument/2006/relationships/hyperlink" Target="https://doi.org/10.1007/s11042-023-18086-8" TargetMode="External"/><Relationship Id="rId45" Type="http://schemas.openxmlformats.org/officeDocument/2006/relationships/hyperlink" Target="https://doi.org/10.1145/1621995.1622002" TargetMode="External"/><Relationship Id="rId107" Type="http://schemas.openxmlformats.org/officeDocument/2006/relationships/hyperlink" Target="https://www.mdpi.com/2227-9032/13/13/1580" TargetMode="External"/><Relationship Id="rId106" Type="http://schemas.openxmlformats.org/officeDocument/2006/relationships/hyperlink" Target="http://rjts-applied-mechanics.ro/index.php/rjts/article/view/377" TargetMode="External"/><Relationship Id="rId105" Type="http://schemas.openxmlformats.org/officeDocument/2006/relationships/hyperlink" Target="https://link.springer.com/article/10.1007/s10339-025-01258-9" TargetMode="External"/><Relationship Id="rId104" Type="http://schemas.openxmlformats.org/officeDocument/2006/relationships/hyperlink" Target="https://asistdl.onlinelibrary.wiley.com/doi/abs/10.1002/asi.21437" TargetMode="External"/><Relationship Id="rId109" Type="http://schemas.openxmlformats.org/officeDocument/2006/relationships/hyperlink" Target="https://link.springer.com/chapter/10.1007/978-3-031-04662-9_4" TargetMode="External"/><Relationship Id="rId108" Type="http://schemas.openxmlformats.org/officeDocument/2006/relationships/hyperlink" Target="https://www.tandfonline.com/doi/abs/10.1080/17538157.2016.1255627" TargetMode="External"/><Relationship Id="rId48" Type="http://schemas.openxmlformats.org/officeDocument/2006/relationships/hyperlink" Target="https://repository.iiitd.edu.in/xmlui/handle/123456789/1090" TargetMode="External"/><Relationship Id="rId47" Type="http://schemas.openxmlformats.org/officeDocument/2006/relationships/hyperlink" Target="https://cdn.iiit.ac.in/cdn/cvit.iiit.ac.in/images/ConferencePapers/2024/Printed-OCR-for-Extremely-Low-resource-Indic-Languages.pdf" TargetMode="External"/><Relationship Id="rId49" Type="http://schemas.openxmlformats.org/officeDocument/2006/relationships/hyperlink" Target="https://www.zora.uzh.ch/entities/publication/ff53018e-dcc0-4501-93b7-2dcd65ac7353" TargetMode="External"/><Relationship Id="rId103" Type="http://schemas.openxmlformats.org/officeDocument/2006/relationships/hyperlink" Target="https://www.neliti.com/publications/591005/natural-language-processing-for-enhancing-communication-in-special-education" TargetMode="External"/><Relationship Id="rId102" Type="http://schemas.openxmlformats.org/officeDocument/2006/relationships/hyperlink" Target="https://www.academia.edu/download/112736732/MAXIMIZING_LEARNING_TRAJECTORIES.pdf" TargetMode="External"/><Relationship Id="rId101" Type="http://schemas.openxmlformats.org/officeDocument/2006/relationships/hyperlink" Target="https://ieeexplore.ieee.org/abstract/document/10911388/" TargetMode="External"/><Relationship Id="rId100" Type="http://schemas.openxmlformats.org/officeDocument/2006/relationships/hyperlink" Target="https://www.mdpi.com/2079-9292/12/13/2864" TargetMode="External"/><Relationship Id="rId31" Type="http://schemas.openxmlformats.org/officeDocument/2006/relationships/hyperlink" Target="https://doi.org/10.1080/07370024.2023.2242364" TargetMode="External"/><Relationship Id="rId30" Type="http://schemas.openxmlformats.org/officeDocument/2006/relationships/hyperlink" Target="https://doi.org/10.1145/3581641.3584042" TargetMode="External"/><Relationship Id="rId33" Type="http://schemas.openxmlformats.org/officeDocument/2006/relationships/hyperlink" Target="https://doi.org/10.1007/978-3-030-58805-2_6" TargetMode="External"/><Relationship Id="rId32" Type="http://schemas.openxmlformats.org/officeDocument/2006/relationships/hyperlink" Target="https://doi.org/10.1057/s41599-025-05187-y" TargetMode="External"/><Relationship Id="rId35" Type="http://schemas.openxmlformats.org/officeDocument/2006/relationships/hyperlink" Target="https://www.researchgate.net/profile/Helmi-Norman/publication/392666586_Generative_Artificial_Intelligence_in_Higher_Education_A_Handbook_for_Educational_Leaders/links/684cf40fdf3fa4286a40af16/Generative-Artificial-Intelligence-in-Higher-Education-A-Handbook-for-Educational-Leaders.pdf" TargetMode="External"/><Relationship Id="rId34" Type="http://schemas.openxmlformats.org/officeDocument/2006/relationships/hyperlink" Target="https://doi.org/10.3390/brainsci15010047" TargetMode="External"/><Relationship Id="rId37" Type="http://schemas.openxmlformats.org/officeDocument/2006/relationships/hyperlink" Target="https://doi.org/10.48550/arXiv.2409.20246" TargetMode="External"/><Relationship Id="rId36" Type="http://schemas.openxmlformats.org/officeDocument/2006/relationships/hyperlink" Target="https://doi.org/10.48550/arXiv.1603.06009" TargetMode="External"/><Relationship Id="rId39" Type="http://schemas.openxmlformats.org/officeDocument/2006/relationships/hyperlink" Target="http://dx.doi.org/10.3115/v1/W14-1820" TargetMode="External"/><Relationship Id="rId38" Type="http://schemas.openxmlformats.org/officeDocument/2006/relationships/hyperlink" Target="https://aclanthology.org/W10-1001.pdf" TargetMode="External"/><Relationship Id="rId20" Type="http://schemas.openxmlformats.org/officeDocument/2006/relationships/hyperlink" Target="https://doi.org/10.1007/BF02319858" TargetMode="External"/><Relationship Id="rId22" Type="http://schemas.openxmlformats.org/officeDocument/2006/relationships/hyperlink" Target="https://doi.org/10.1016/j.lindif.2013.04.003" TargetMode="External"/><Relationship Id="rId21" Type="http://schemas.openxmlformats.org/officeDocument/2006/relationships/hyperlink" Target="https://doi.org/10.1177/0014402914563697" TargetMode="External"/><Relationship Id="rId24" Type="http://schemas.openxmlformats.org/officeDocument/2006/relationships/hyperlink" Target="https://aclanthology.org/2021.mtsummit-research.4/" TargetMode="External"/><Relationship Id="rId23" Type="http://schemas.openxmlformats.org/officeDocument/2006/relationships/hyperlink" Target="https://aclanthology.org/L16-1045/" TargetMode="External"/><Relationship Id="rId126" Type="http://schemas.openxmlformats.org/officeDocument/2006/relationships/drawing" Target="../drawings/drawing2.xml"/><Relationship Id="rId26" Type="http://schemas.openxmlformats.org/officeDocument/2006/relationships/hyperlink" Target="https://doi.org/10.1007/978-3-030-52538-5_9" TargetMode="External"/><Relationship Id="rId121" Type="http://schemas.openxmlformats.org/officeDocument/2006/relationships/hyperlink" Target="https://www.tandfonline.com/doi/abs/10.1080/0144929X.2020.1742381" TargetMode="External"/><Relationship Id="rId25" Type="http://schemas.openxmlformats.org/officeDocument/2006/relationships/hyperlink" Target="https://doi.org/10.1177/00224669070410010101" TargetMode="External"/><Relationship Id="rId120" Type="http://schemas.openxmlformats.org/officeDocument/2006/relationships/hyperlink" Target="https://journals.sagepub.com/doi/abs/10.1177/016264340401900406" TargetMode="External"/><Relationship Id="rId28" Type="http://schemas.openxmlformats.org/officeDocument/2006/relationships/hyperlink" Target="https://core.ac.uk/download/pdf/541362287.pdf" TargetMode="External"/><Relationship Id="rId27" Type="http://schemas.openxmlformats.org/officeDocument/2006/relationships/hyperlink" Target="https://doi.org/10.1145/3611306" TargetMode="External"/><Relationship Id="rId125" Type="http://schemas.openxmlformats.org/officeDocument/2006/relationships/hyperlink" Target="https://cs.okstate.edu/~chriscrick/Madjidi-DSAI-24.pdf" TargetMode="External"/><Relationship Id="rId29" Type="http://schemas.openxmlformats.org/officeDocument/2006/relationships/hyperlink" Target="https://aclanthology.org/2023.ranlp-1.36/" TargetMode="External"/><Relationship Id="rId124" Type="http://schemas.openxmlformats.org/officeDocument/2006/relationships/hyperlink" Target="https://dl.acm.org/doi/abs/10.1145/3290605.3300744" TargetMode="External"/><Relationship Id="rId123" Type="http://schemas.openxmlformats.org/officeDocument/2006/relationships/hyperlink" Target="https://onlinelibrary.wiley.com/doi/abs/10.1002/bsl.2101" TargetMode="External"/><Relationship Id="rId122" Type="http://schemas.openxmlformats.org/officeDocument/2006/relationships/hyperlink" Target="https://www.mdpi.com/1424-8220/21/14/4871" TargetMode="External"/><Relationship Id="rId95" Type="http://schemas.openxmlformats.org/officeDocument/2006/relationships/hyperlink" Target="https://www.academia.edu/download/58121311/Paper_10-Natural_Language_Processing.pdf" TargetMode="External"/><Relationship Id="rId94" Type="http://schemas.openxmlformats.org/officeDocument/2006/relationships/hyperlink" Target="https://arxiv.org/abs/2411.15586" TargetMode="External"/><Relationship Id="rId97" Type="http://schemas.openxmlformats.org/officeDocument/2006/relationships/hyperlink" Target="https://pmc.ncbi.nlm.nih.gov/articles/PMC6324711/" TargetMode="External"/><Relationship Id="rId96" Type="http://schemas.openxmlformats.org/officeDocument/2006/relationships/hyperlink" Target="https://dl.acm.org/doi/abs/10.1145/3674912.3674917" TargetMode="External"/><Relationship Id="rId11" Type="http://schemas.openxmlformats.org/officeDocument/2006/relationships/hyperlink" Target="https://doi.org/10.1177/026765830101700405" TargetMode="External"/><Relationship Id="rId99" Type="http://schemas.openxmlformats.org/officeDocument/2006/relationships/hyperlink" Target="https://www.researchgate.net/profile/Vladimir-Milosev/publication/380910209_Educational_Softwares_in_the_Function_of_Improving_Education_of_Children_with_Special_Needs/links/665599480b0d2845745e0e9d/Educational-Softwares-in-the-Function-of-Improving-Education-of-Children-with-Special-Needs.pdf" TargetMode="External"/><Relationship Id="rId10" Type="http://schemas.openxmlformats.org/officeDocument/2006/relationships/hyperlink" Target="https://doi.org/10.1007/s11881-021-00227-z" TargetMode="External"/><Relationship Id="rId98" Type="http://schemas.openxmlformats.org/officeDocument/2006/relationships/hyperlink" Target="https://dl.acm.org/doi/abs/10.1145/3545945.3569802" TargetMode="External"/><Relationship Id="rId13" Type="http://schemas.openxmlformats.org/officeDocument/2006/relationships/hyperlink" Target="https://journals.plos.org/plosone/article?id=10.1371%2Fjournal.pone.0283622" TargetMode="External"/><Relationship Id="rId12" Type="http://schemas.openxmlformats.org/officeDocument/2006/relationships/hyperlink" Target="https://papers.iafor.org/wp-content/uploads/papers/ace2019/ACE2019_54553.pdf?t=8" TargetMode="External"/><Relationship Id="rId91" Type="http://schemas.openxmlformats.org/officeDocument/2006/relationships/hyperlink" Target="https://link.springer.com/article/10.1023/B:READ.0000013823.56357.8b" TargetMode="External"/><Relationship Id="rId90" Type="http://schemas.openxmlformats.org/officeDocument/2006/relationships/hyperlink" Target="https://arxiv.org/abs/2410.19821" TargetMode="External"/><Relationship Id="rId93" Type="http://schemas.openxmlformats.org/officeDocument/2006/relationships/hyperlink" Target="https://ieeexplore.ieee.org/document/9816251" TargetMode="External"/><Relationship Id="rId92" Type="http://schemas.openxmlformats.org/officeDocument/2006/relationships/hyperlink" Target="https://arxiv.org/abs/2307.14544" TargetMode="External"/><Relationship Id="rId118" Type="http://schemas.openxmlformats.org/officeDocument/2006/relationships/hyperlink" Target="https://journals.sagepub.com/doi/abs/10.3233/TAD-200308" TargetMode="External"/><Relationship Id="rId117" Type="http://schemas.openxmlformats.org/officeDocument/2006/relationships/hyperlink" Target="https://dl.acm.org/doi/abs/10.1145/3408300" TargetMode="External"/><Relationship Id="rId116" Type="http://schemas.openxmlformats.org/officeDocument/2006/relationships/hyperlink" Target="https://www.sciencedirect.com/science/article/pii/S0360131518303178" TargetMode="External"/><Relationship Id="rId115" Type="http://schemas.openxmlformats.org/officeDocument/2006/relationships/hyperlink" Target="https://link.springer.com/chapter/10.1007/978-981-97-0914-4_10" TargetMode="External"/><Relationship Id="rId119" Type="http://schemas.openxmlformats.org/officeDocument/2006/relationships/hyperlink" Target="http://ijrdase.com/ijrdase/wp-content/uploads/2025/06/Bridging-the-Accessibility-Gap-A-Review-of-E-Learning-Platforms-Supporting-Learners-with-Disabilities-through-Assistive-Technologies.pdf" TargetMode="External"/><Relationship Id="rId15" Type="http://schemas.openxmlformats.org/officeDocument/2006/relationships/hyperlink" Target="https://doi.org/10.3233/TAD-230005" TargetMode="External"/><Relationship Id="rId110" Type="http://schemas.openxmlformats.org/officeDocument/2006/relationships/hyperlink" Target="https://www.tandfonline.com/doi/abs/10.1080/10400435.2021.1992540" TargetMode="External"/><Relationship Id="rId14" Type="http://schemas.openxmlformats.org/officeDocument/2006/relationships/hyperlink" Target="https://dl.acm.org/doi/abs/10.1145/1061811.1061828" TargetMode="External"/><Relationship Id="rId17" Type="http://schemas.openxmlformats.org/officeDocument/2006/relationships/hyperlink" Target="https://www.diva-portal.org/smash/get/diva2:1970401/FULLTEXT01.pdf" TargetMode="External"/><Relationship Id="rId16" Type="http://schemas.openxmlformats.org/officeDocument/2006/relationships/hyperlink" Target="http://dx.doi.org/10.14569/SpecialIssue.2014.040109" TargetMode="External"/><Relationship Id="rId19" Type="http://schemas.openxmlformats.org/officeDocument/2006/relationships/hyperlink" Target="https://doi.org/10.1111/j.1751-228X.2011.01136.x" TargetMode="External"/><Relationship Id="rId114" Type="http://schemas.openxmlformats.org/officeDocument/2006/relationships/hyperlink" Target="https://www.mdpi.com/1424-8220/22/21/8531" TargetMode="External"/><Relationship Id="rId18" Type="http://schemas.openxmlformats.org/officeDocument/2006/relationships/hyperlink" Target="https://pressbooks.pub/alttexts2025/chapter/accessibility-barriers-in-k-12-digital-learning-platforms-for-students-with-adhd/" TargetMode="External"/><Relationship Id="rId113" Type="http://schemas.openxmlformats.org/officeDocument/2006/relationships/hyperlink" Target="http://tairjournal.com/index.php/22/article/view/10" TargetMode="External"/><Relationship Id="rId112" Type="http://schemas.openxmlformats.org/officeDocument/2006/relationships/hyperlink" Target="https://papers.ssrn.com/sol3/papers.cfm?abstract_id=5236153" TargetMode="External"/><Relationship Id="rId111" Type="http://schemas.openxmlformats.org/officeDocument/2006/relationships/hyperlink" Target="https://ieeexplore.ieee.org/abstract/document/10973941/" TargetMode="External"/><Relationship Id="rId84" Type="http://schemas.openxmlformats.org/officeDocument/2006/relationships/hyperlink" Target="https://doi.org/10.1038/s41598-023-50879-7" TargetMode="External"/><Relationship Id="rId83" Type="http://schemas.openxmlformats.org/officeDocument/2006/relationships/hyperlink" Target="https://ieeexplore.ieee.org/abstract/document/10446873/" TargetMode="External"/><Relationship Id="rId86" Type="http://schemas.openxmlformats.org/officeDocument/2006/relationships/hyperlink" Target="https://www.ijstr.org/final-print/mar2020/Advanced-Machine-Learning-Techniques-To-Assist-Dyslexic-Children-For-Easy-Readability.pdf" TargetMode="External"/><Relationship Id="rId85" Type="http://schemas.openxmlformats.org/officeDocument/2006/relationships/hyperlink" Target="https://doi.org/10.1063/5.0262966" TargetMode="External"/><Relationship Id="rId88" Type="http://schemas.openxmlformats.org/officeDocument/2006/relationships/hyperlink" Target="https://www.frontiersin.org/articles/10.3389/frcha.2025.1519753/full" TargetMode="External"/><Relationship Id="rId87" Type="http://schemas.openxmlformats.org/officeDocument/2006/relationships/hyperlink" Target="https://nhsjs.com/2025/a-review-of-artificial-intelligence-based-educational-interventions-for-students-with-adhd/" TargetMode="External"/><Relationship Id="rId89" Type="http://schemas.openxmlformats.org/officeDocument/2006/relationships/hyperlink" Target="https://doi.org/10.1007/s11881-021-00227-z" TargetMode="External"/><Relationship Id="rId80" Type="http://schemas.openxmlformats.org/officeDocument/2006/relationships/hyperlink" Target="https://scholar.archive.org/work/arbqjgo5abgxda3nc3tbztp55q/access/wayback/https://au-east.erc.monash.edu.au/fpfiles/26220989/Saluja_FinalthesisCherieLau.pdf" TargetMode="External"/><Relationship Id="rId82" Type="http://schemas.openxmlformats.org/officeDocument/2006/relationships/hyperlink" Target="https://cdn.iiit.ac.in/cdn/web2py.iiit.ac.in/research_centres/publications/download/mastersthesis.pdf.88fa584589bd36b3.4173686f6b5f4d535f5468657369732e706466.pdf" TargetMode="External"/><Relationship Id="rId81" Type="http://schemas.openxmlformats.org/officeDocument/2006/relationships/hyperlink" Target="https://aclanthology.org/2025.coling-main.142/" TargetMode="External"/><Relationship Id="rId1" Type="http://schemas.openxmlformats.org/officeDocument/2006/relationships/hyperlink" Target="https://www.sciencedirect.com/author/7801452039/helene-sauzeon" TargetMode="External"/><Relationship Id="rId2" Type="http://schemas.openxmlformats.org/officeDocument/2006/relationships/hyperlink" Target="https://www.sciencedirect.com/topics/social-sciences/access-to-education" TargetMode="External"/><Relationship Id="rId3" Type="http://schemas.openxmlformats.org/officeDocument/2006/relationships/hyperlink" Target="https://doi.org/10.1016/j.compedu.2018.12.004" TargetMode="External"/><Relationship Id="rId4" Type="http://schemas.openxmlformats.org/officeDocument/2006/relationships/hyperlink" Target="http://dx.doi.org/10.3233/TAD-2007-19406" TargetMode="External"/><Relationship Id="rId9" Type="http://schemas.openxmlformats.org/officeDocument/2006/relationships/hyperlink" Target="https://ipt287f09s2.pbworks.com/f/Supporting+Learners+with+Cognitive+Impairments.pdf" TargetMode="External"/><Relationship Id="rId5" Type="http://schemas.openxmlformats.org/officeDocument/2006/relationships/hyperlink" Target="https://doi.org/10.1109/ICMCSI64620.2025.10883148" TargetMode="External"/><Relationship Id="rId6" Type="http://schemas.openxmlformats.org/officeDocument/2006/relationships/hyperlink" Target="https://doi.org/10.3390/info15120769" TargetMode="External"/><Relationship Id="rId7" Type="http://schemas.openxmlformats.org/officeDocument/2006/relationships/hyperlink" Target="https://doi.org/10.1007/s10209-014-0351-6" TargetMode="External"/><Relationship Id="rId8" Type="http://schemas.openxmlformats.org/officeDocument/2006/relationships/hyperlink" Target="https://doi.org/10.1007/978-1-4471-7440-0_28" TargetMode="External"/><Relationship Id="rId73" Type="http://schemas.openxmlformats.org/officeDocument/2006/relationships/hyperlink" Target="https://direct.mit.edu/tacl/article/doi/10.1162/tacl_a_00653/120649" TargetMode="External"/><Relationship Id="rId72" Type="http://schemas.openxmlformats.org/officeDocument/2006/relationships/hyperlink" Target="https://ieeexplore.ieee.org/abstract/document/9774397/" TargetMode="External"/><Relationship Id="rId75" Type="http://schemas.openxmlformats.org/officeDocument/2006/relationships/hyperlink" Target="https://ceur-ws.org/Vol-3625/paper12.pdf" TargetMode="External"/><Relationship Id="rId74" Type="http://schemas.openxmlformats.org/officeDocument/2006/relationships/hyperlink" Target="https://www.preprints.org/manuscript/202508.0955/download/final_file" TargetMode="External"/><Relationship Id="rId77" Type="http://schemas.openxmlformats.org/officeDocument/2006/relationships/hyperlink" Target="https://link.springer.com/chapter/10.1007/978-981-99-7947-9_10" TargetMode="External"/><Relationship Id="rId76" Type="http://schemas.openxmlformats.org/officeDocument/2006/relationships/hyperlink" Target="https://www.frontiersin.org/articles/10.3389/fpsyg.2021.703690/full" TargetMode="External"/><Relationship Id="rId79" Type="http://schemas.openxmlformats.org/officeDocument/2006/relationships/hyperlink" Target="https://dl.acm.org/doi/abs/10.1145/3652026" TargetMode="External"/><Relationship Id="rId78" Type="http://schemas.openxmlformats.org/officeDocument/2006/relationships/hyperlink" Target="https://aclanthology.org/2024.findings-acl.952/" TargetMode="External"/><Relationship Id="rId71" Type="http://schemas.openxmlformats.org/officeDocument/2006/relationships/hyperlink" Target="https://www.mdpi.com/2078-2489/15/8/500" TargetMode="External"/><Relationship Id="rId70" Type="http://schemas.openxmlformats.org/officeDocument/2006/relationships/hyperlink" Target="https://link.springer.com/chapter/10.1007/978-981-96-6606-5_12" TargetMode="External"/><Relationship Id="rId62" Type="http://schemas.openxmlformats.org/officeDocument/2006/relationships/hyperlink" Target="https://semarakilmu.com.my/journals/index.php/applied_sciences_eng_tech/article/view/2003/2900" TargetMode="External"/><Relationship Id="rId61" Type="http://schemas.openxmlformats.org/officeDocument/2006/relationships/hyperlink" Target="https://arxiv.org/pdf/2504.00941" TargetMode="External"/><Relationship Id="rId64" Type="http://schemas.openxmlformats.org/officeDocument/2006/relationships/hyperlink" Target="https://arxiv.org/abs/2212.05702?utm_source=chatgpt.com" TargetMode="External"/><Relationship Id="rId63" Type="http://schemas.openxmlformats.org/officeDocument/2006/relationships/hyperlink" Target="https://ieeexplore.ieee.org/stamp/stamp.jsp?tp=&amp;arnumber=11086272" TargetMode="External"/><Relationship Id="rId66" Type="http://schemas.openxmlformats.org/officeDocument/2006/relationships/hyperlink" Target="https://aclanthology.org/2024.wildre-1.8/" TargetMode="External"/><Relationship Id="rId65" Type="http://schemas.openxmlformats.org/officeDocument/2006/relationships/hyperlink" Target="https://arxiv.org/abs/2109.02903?utm_source=chatgpt.com" TargetMode="External"/><Relationship Id="rId68" Type="http://schemas.openxmlformats.org/officeDocument/2006/relationships/hyperlink" Target="https://web2py.iiit.ac.in/research_centres/publications/download/mastersthesis.pdf.957680cd46d4bccb.73697265657368612d7468657369732d7072657072696e74202831292e706466.pdf" TargetMode="External"/><Relationship Id="rId67" Type="http://schemas.openxmlformats.org/officeDocument/2006/relationships/hyperlink" Target="https://www.jbe-platform.com/content/journals/10.1075/itl.165.2.06sid" TargetMode="External"/><Relationship Id="rId60" Type="http://schemas.openxmlformats.org/officeDocument/2006/relationships/hyperlink" Target="https://arxiv.org/abs/2307.14544" TargetMode="External"/><Relationship Id="rId69" Type="http://schemas.openxmlformats.org/officeDocument/2006/relationships/hyperlink" Target="https://cdn.iiit.ac.in/cdn/web2py.iiit.ac.in/research_centres/publications/download/mastersthesis.pdf.bf9a7e6ae16a3046.4d535f5468657369735f4b73686974696a5f4d69736872615f323030393032303434202836292e706466.pdf" TargetMode="External"/><Relationship Id="rId51" Type="http://schemas.openxmlformats.org/officeDocument/2006/relationships/hyperlink" Target="https://ieeexplore.ieee.org/abstract/document/11146779/" TargetMode="External"/><Relationship Id="rId50" Type="http://schemas.openxmlformats.org/officeDocument/2006/relationships/hyperlink" Target="https://arxiv.org/abs/2507.15272" TargetMode="External"/><Relationship Id="rId53" Type="http://schemas.openxmlformats.org/officeDocument/2006/relationships/hyperlink" Target="https://aclanthology.org/L16-1317/" TargetMode="External"/><Relationship Id="rId52" Type="http://schemas.openxmlformats.org/officeDocument/2006/relationships/hyperlink" Target="https://dl.acm.org/doi/abs/10.1145/3394486.3403331" TargetMode="External"/><Relationship Id="rId55" Type="http://schemas.openxmlformats.org/officeDocument/2006/relationships/hyperlink" Target="https://dl.acm.org/doi/abs/10.1145/3736720" TargetMode="External"/><Relationship Id="rId54" Type="http://schemas.openxmlformats.org/officeDocument/2006/relationships/hyperlink" Target="https://proceedings.neurips.cc/paper_files/paper/2024/hash/7dfcaf4512bbf2a807a783b90afb6c09-Abstract-Datasets_and_Benchmarks_Track.html" TargetMode="External"/><Relationship Id="rId57" Type="http://schemas.openxmlformats.org/officeDocument/2006/relationships/hyperlink" Target="https://arxiv.org/abs/2502.05729" TargetMode="External"/><Relationship Id="rId56" Type="http://schemas.openxmlformats.org/officeDocument/2006/relationships/hyperlink" Target="https://arxiv.org/abs/2410.17901" TargetMode="External"/><Relationship Id="rId59" Type="http://schemas.openxmlformats.org/officeDocument/2006/relationships/hyperlink" Target="https://link.springer.com/chapter/10.1007/978-3-031-93864-1_22" TargetMode="External"/><Relationship Id="rId58" Type="http://schemas.openxmlformats.org/officeDocument/2006/relationships/hyperlink" Target="https://onlinelibrary.wiley.com/doi/abs/10.1002/ail2.117"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dx.doi.org/10.3115/v1/W14-1820" TargetMode="External"/><Relationship Id="rId42" Type="http://schemas.openxmlformats.org/officeDocument/2006/relationships/hyperlink" Target="https://arxiv.org/abs/2307.14544" TargetMode="External"/><Relationship Id="rId41" Type="http://schemas.openxmlformats.org/officeDocument/2006/relationships/hyperlink" Target="https://doi.org/10.1007/s12046-022-01973-5" TargetMode="External"/><Relationship Id="rId44" Type="http://schemas.openxmlformats.org/officeDocument/2006/relationships/hyperlink" Target="https://semarakilmu.com.my/journals/index.php/applied_sciences_eng_tech/article/view/2003/2900" TargetMode="External"/><Relationship Id="rId43" Type="http://schemas.openxmlformats.org/officeDocument/2006/relationships/hyperlink" Target="https://arxiv.org/pdf/2504.00941" TargetMode="External"/><Relationship Id="rId46" Type="http://schemas.openxmlformats.org/officeDocument/2006/relationships/hyperlink" Target="https://arxiv.org/abs/2212.05702?utm_source=chatgpt.com" TargetMode="External"/><Relationship Id="rId45" Type="http://schemas.openxmlformats.org/officeDocument/2006/relationships/hyperlink" Target="https://ieeexplore.ieee.org/stamp/stamp.jsp?tp=&amp;arnumber=11086272" TargetMode="External"/><Relationship Id="rId48" Type="http://schemas.openxmlformats.org/officeDocument/2006/relationships/hyperlink" Target="https://aclanthology.org/2024.wildre-1.8/" TargetMode="External"/><Relationship Id="rId47" Type="http://schemas.openxmlformats.org/officeDocument/2006/relationships/hyperlink" Target="https://arxiv.org/abs/2109.02903?utm_source=chatgpt.com" TargetMode="External"/><Relationship Id="rId49" Type="http://schemas.openxmlformats.org/officeDocument/2006/relationships/hyperlink" Target="https://www.jbe-platform.com/content/journals/10.1075/itl.165.2.06sid" TargetMode="External"/><Relationship Id="rId31" Type="http://schemas.openxmlformats.org/officeDocument/2006/relationships/hyperlink" Target="https://doi.org/10.1080/07370024.2023.2242364" TargetMode="External"/><Relationship Id="rId30" Type="http://schemas.openxmlformats.org/officeDocument/2006/relationships/hyperlink" Target="https://doi.org/10.1145/3581641.3584042" TargetMode="External"/><Relationship Id="rId33" Type="http://schemas.openxmlformats.org/officeDocument/2006/relationships/hyperlink" Target="https://doi.org/10.1007/978-3-030-58805-2_6" TargetMode="External"/><Relationship Id="rId32" Type="http://schemas.openxmlformats.org/officeDocument/2006/relationships/hyperlink" Target="https://doi.org/10.1057/s41599-025-05187-y" TargetMode="External"/><Relationship Id="rId35" Type="http://schemas.openxmlformats.org/officeDocument/2006/relationships/hyperlink" Target="https://www.researchgate.net/profile/Helmi-Norman/publication/392666586_Generative_Artificial_Intelligence_in_Higher_Education_A_Handbook_for_Educational_Leaders/links/684cf40fdf3fa4286a40af16/Generative-Artificial-Intelligence-in-Higher-Education-A-Handbook-for-Educational-Leaders.pdf" TargetMode="External"/><Relationship Id="rId34" Type="http://schemas.openxmlformats.org/officeDocument/2006/relationships/hyperlink" Target="https://doi.org/10.3390/brainsci15010047" TargetMode="External"/><Relationship Id="rId37" Type="http://schemas.openxmlformats.org/officeDocument/2006/relationships/hyperlink" Target="https://doi.org/10.48550/arXiv.1603.06009" TargetMode="External"/><Relationship Id="rId36" Type="http://schemas.openxmlformats.org/officeDocument/2006/relationships/hyperlink" Target="https://link.springer.com/chapter/10.1007/978-3-031-93864-1_22" TargetMode="External"/><Relationship Id="rId39" Type="http://schemas.openxmlformats.org/officeDocument/2006/relationships/hyperlink" Target="https://aclanthology.org/W10-1001.pdf" TargetMode="External"/><Relationship Id="rId38" Type="http://schemas.openxmlformats.org/officeDocument/2006/relationships/hyperlink" Target="https://doi.org/10.48550/arXiv.2409.20246" TargetMode="External"/><Relationship Id="rId20" Type="http://schemas.openxmlformats.org/officeDocument/2006/relationships/hyperlink" Target="https://doi.org/10.1007/BF02319858" TargetMode="External"/><Relationship Id="rId22" Type="http://schemas.openxmlformats.org/officeDocument/2006/relationships/hyperlink" Target="https://doi.org/10.1016/j.lindif.2013.04.003" TargetMode="External"/><Relationship Id="rId21" Type="http://schemas.openxmlformats.org/officeDocument/2006/relationships/hyperlink" Target="https://doi.org/10.1177/0014402914563697" TargetMode="External"/><Relationship Id="rId24" Type="http://schemas.openxmlformats.org/officeDocument/2006/relationships/hyperlink" Target="https://aclanthology.org/2021.mtsummit-research.4/" TargetMode="External"/><Relationship Id="rId23" Type="http://schemas.openxmlformats.org/officeDocument/2006/relationships/hyperlink" Target="https://aclanthology.org/L16-1045/" TargetMode="External"/><Relationship Id="rId26" Type="http://schemas.openxmlformats.org/officeDocument/2006/relationships/hyperlink" Target="https://doi.org/10.1007/978-3-030-52538-5_9" TargetMode="External"/><Relationship Id="rId25" Type="http://schemas.openxmlformats.org/officeDocument/2006/relationships/hyperlink" Target="https://doi.org/10.1177/00224669070410010101" TargetMode="External"/><Relationship Id="rId28" Type="http://schemas.openxmlformats.org/officeDocument/2006/relationships/hyperlink" Target="https://core.ac.uk/download/pdf/541362287.pdf" TargetMode="External"/><Relationship Id="rId27" Type="http://schemas.openxmlformats.org/officeDocument/2006/relationships/hyperlink" Target="https://doi.org/10.1145/3611306" TargetMode="External"/><Relationship Id="rId29" Type="http://schemas.openxmlformats.org/officeDocument/2006/relationships/hyperlink" Target="https://aclanthology.org/2023.ranlp-1.36/" TargetMode="External"/><Relationship Id="rId11" Type="http://schemas.openxmlformats.org/officeDocument/2006/relationships/hyperlink" Target="https://doi.org/10.1177/026765830101700405" TargetMode="External"/><Relationship Id="rId10" Type="http://schemas.openxmlformats.org/officeDocument/2006/relationships/hyperlink" Target="https://doi.org/10.1007/s11881-021-00227-z" TargetMode="External"/><Relationship Id="rId13" Type="http://schemas.openxmlformats.org/officeDocument/2006/relationships/hyperlink" Target="https://journals.plos.org/plosone/article?id=10.1371%2Fjournal.pone.0283622" TargetMode="External"/><Relationship Id="rId12" Type="http://schemas.openxmlformats.org/officeDocument/2006/relationships/hyperlink" Target="https://papers.iafor.org/wp-content/uploads/papers/ace2019/ACE2019_54553.pdf?t=8" TargetMode="External"/><Relationship Id="rId15" Type="http://schemas.openxmlformats.org/officeDocument/2006/relationships/hyperlink" Target="https://doi.org/10.3233/TAD-230005" TargetMode="External"/><Relationship Id="rId14" Type="http://schemas.openxmlformats.org/officeDocument/2006/relationships/hyperlink" Target="https://dl.acm.org/doi/abs/10.1145/1061811.1061828" TargetMode="External"/><Relationship Id="rId17" Type="http://schemas.openxmlformats.org/officeDocument/2006/relationships/hyperlink" Target="https://www.diva-portal.org/smash/get/diva2:1970401/FULLTEXT01.pdf" TargetMode="External"/><Relationship Id="rId16" Type="http://schemas.openxmlformats.org/officeDocument/2006/relationships/hyperlink" Target="http://dx.doi.org/10.14569/SpecialIssue.2014.040109" TargetMode="External"/><Relationship Id="rId19" Type="http://schemas.openxmlformats.org/officeDocument/2006/relationships/hyperlink" Target="https://doi.org/10.1111/j.1751-228X.2011.01136.x" TargetMode="External"/><Relationship Id="rId18" Type="http://schemas.openxmlformats.org/officeDocument/2006/relationships/hyperlink" Target="https://pressbooks.pub/alttexts2025/chapter/accessibility-barriers-in-k-12-digital-learning-platforms-for-students-with-adhd/" TargetMode="External"/><Relationship Id="rId84" Type="http://schemas.openxmlformats.org/officeDocument/2006/relationships/hyperlink" Target="https://ieeexplore.ieee.org/document/9816251" TargetMode="External"/><Relationship Id="rId83" Type="http://schemas.openxmlformats.org/officeDocument/2006/relationships/hyperlink" Target="https://arxiv.org/abs/2307.14544" TargetMode="External"/><Relationship Id="rId86" Type="http://schemas.openxmlformats.org/officeDocument/2006/relationships/drawing" Target="../drawings/drawing3.xml"/><Relationship Id="rId85" Type="http://schemas.openxmlformats.org/officeDocument/2006/relationships/hyperlink" Target="https://cs.okstate.edu/~chriscrick/Madjidi-DSAI-24.pdf" TargetMode="External"/><Relationship Id="rId80" Type="http://schemas.openxmlformats.org/officeDocument/2006/relationships/hyperlink" Target="https://doi.org/10.1007/s11881-021-00227-z" TargetMode="External"/><Relationship Id="rId82" Type="http://schemas.openxmlformats.org/officeDocument/2006/relationships/hyperlink" Target="https://link.springer.com/article/10.1023/B:READ.0000013823.56357.8b" TargetMode="External"/><Relationship Id="rId81" Type="http://schemas.openxmlformats.org/officeDocument/2006/relationships/hyperlink" Target="https://arxiv.org/abs/2410.19821" TargetMode="External"/><Relationship Id="rId1" Type="http://schemas.openxmlformats.org/officeDocument/2006/relationships/hyperlink" Target="https://www.sciencedirect.com/author/7801452039/helene-sauzeon" TargetMode="External"/><Relationship Id="rId2" Type="http://schemas.openxmlformats.org/officeDocument/2006/relationships/hyperlink" Target="https://www.sciencedirect.com/topics/social-sciences/access-to-education" TargetMode="External"/><Relationship Id="rId3" Type="http://schemas.openxmlformats.org/officeDocument/2006/relationships/hyperlink" Target="https://doi.org/10.1016/j.compedu.2018.12.004" TargetMode="External"/><Relationship Id="rId4" Type="http://schemas.openxmlformats.org/officeDocument/2006/relationships/hyperlink" Target="http://dx.doi.org/10.3233/TAD-2007-19406" TargetMode="External"/><Relationship Id="rId9" Type="http://schemas.openxmlformats.org/officeDocument/2006/relationships/hyperlink" Target="https://ipt287f09s2.pbworks.com/f/Supporting+Learners+with+Cognitive+Impairments.pdf" TargetMode="External"/><Relationship Id="rId5" Type="http://schemas.openxmlformats.org/officeDocument/2006/relationships/hyperlink" Target="https://doi.org/10.1109/ICMCSI64620.2025.10883148" TargetMode="External"/><Relationship Id="rId6" Type="http://schemas.openxmlformats.org/officeDocument/2006/relationships/hyperlink" Target="https://doi.org/10.3390/info15120769" TargetMode="External"/><Relationship Id="rId7" Type="http://schemas.openxmlformats.org/officeDocument/2006/relationships/hyperlink" Target="https://doi.org/10.1007/s10209-014-0351-6" TargetMode="External"/><Relationship Id="rId8" Type="http://schemas.openxmlformats.org/officeDocument/2006/relationships/hyperlink" Target="https://doi.org/10.1007/978-1-4471-7440-0_28" TargetMode="External"/><Relationship Id="rId73" Type="http://schemas.openxmlformats.org/officeDocument/2006/relationships/hyperlink" Target="https://arxiv.org/abs/2502.05729" TargetMode="External"/><Relationship Id="rId72" Type="http://schemas.openxmlformats.org/officeDocument/2006/relationships/hyperlink" Target="https://arxiv.org/abs/2410.17901" TargetMode="External"/><Relationship Id="rId75" Type="http://schemas.openxmlformats.org/officeDocument/2006/relationships/hyperlink" Target="https://doi.org/10.1038/s41598-023-50879-7" TargetMode="External"/><Relationship Id="rId74" Type="http://schemas.openxmlformats.org/officeDocument/2006/relationships/hyperlink" Target="https://onlinelibrary.wiley.com/doi/abs/10.1002/ail2.117" TargetMode="External"/><Relationship Id="rId77" Type="http://schemas.openxmlformats.org/officeDocument/2006/relationships/hyperlink" Target="https://www.ijstr.org/final-print/mar2020/Advanced-Machine-Learning-Techniques-To-Assist-Dyslexic-Children-For-Easy-Readability.pdf" TargetMode="External"/><Relationship Id="rId76" Type="http://schemas.openxmlformats.org/officeDocument/2006/relationships/hyperlink" Target="https://doi.org/10.1063/5.0262966" TargetMode="External"/><Relationship Id="rId79" Type="http://schemas.openxmlformats.org/officeDocument/2006/relationships/hyperlink" Target="https://www.frontiersin.org/articles/10.3389/frcha.2025.1519753/full" TargetMode="External"/><Relationship Id="rId78" Type="http://schemas.openxmlformats.org/officeDocument/2006/relationships/hyperlink" Target="https://nhsjs.com/2025/a-review-of-artificial-intelligence-based-educational-interventions-for-students-with-adhd/" TargetMode="External"/><Relationship Id="rId71" Type="http://schemas.openxmlformats.org/officeDocument/2006/relationships/hyperlink" Target="https://dl.acm.org/doi/abs/10.1145/3736720" TargetMode="External"/><Relationship Id="rId70" Type="http://schemas.openxmlformats.org/officeDocument/2006/relationships/hyperlink" Target="https://proceedings.neurips.cc/paper_files/paper/2024/hash/7dfcaf4512bbf2a807a783b90afb6c09-Abstract-Datasets_and_Benchmarks_Track.html" TargetMode="External"/><Relationship Id="rId62" Type="http://schemas.openxmlformats.org/officeDocument/2006/relationships/hyperlink" Target="https://scholar.archive.org/work/arbqjgo5abgxda3nc3tbztp55q/access/wayback/https://au-east.erc.monash.edu.au/fpfiles/26220989/Saluja_FinalthesisCherieLau.pdf" TargetMode="External"/><Relationship Id="rId61" Type="http://schemas.openxmlformats.org/officeDocument/2006/relationships/hyperlink" Target="https://dl.acm.org/doi/abs/10.1145/3652026" TargetMode="External"/><Relationship Id="rId64" Type="http://schemas.openxmlformats.org/officeDocument/2006/relationships/hyperlink" Target="https://cdn.iiit.ac.in/cdn/web2py.iiit.ac.in/research_centres/publications/download/mastersthesis.pdf.88fa584589bd36b3.4173686f6b5f4d535f5468657369732e706466.pdf" TargetMode="External"/><Relationship Id="rId63" Type="http://schemas.openxmlformats.org/officeDocument/2006/relationships/hyperlink" Target="https://aclanthology.org/2025.coling-main.142/" TargetMode="External"/><Relationship Id="rId66" Type="http://schemas.openxmlformats.org/officeDocument/2006/relationships/hyperlink" Target="https://arxiv.org/abs/2507.15272" TargetMode="External"/><Relationship Id="rId65" Type="http://schemas.openxmlformats.org/officeDocument/2006/relationships/hyperlink" Target="https://ieeexplore.ieee.org/abstract/document/10446873/" TargetMode="External"/><Relationship Id="rId68" Type="http://schemas.openxmlformats.org/officeDocument/2006/relationships/hyperlink" Target="https://dl.acm.org/doi/abs/10.1145/3394486.3403331" TargetMode="External"/><Relationship Id="rId67" Type="http://schemas.openxmlformats.org/officeDocument/2006/relationships/hyperlink" Target="https://ieeexplore.ieee.org/abstract/document/11146779/" TargetMode="External"/><Relationship Id="rId60" Type="http://schemas.openxmlformats.org/officeDocument/2006/relationships/hyperlink" Target="https://aclanthology.org/2024.findings-acl.952/" TargetMode="External"/><Relationship Id="rId69" Type="http://schemas.openxmlformats.org/officeDocument/2006/relationships/hyperlink" Target="https://aclanthology.org/L16-1317/" TargetMode="External"/><Relationship Id="rId51" Type="http://schemas.openxmlformats.org/officeDocument/2006/relationships/hyperlink" Target="https://cdn.iiit.ac.in/cdn/web2py.iiit.ac.in/research_centres/publications/download/mastersthesis.pdf.bf9a7e6ae16a3046.4d535f5468657369735f4b73686974696a5f4d69736872615f323030393032303434202836292e706466.pdf" TargetMode="External"/><Relationship Id="rId50" Type="http://schemas.openxmlformats.org/officeDocument/2006/relationships/hyperlink" Target="https://web2py.iiit.ac.in/research_centres/publications/download/mastersthesis.pdf.957680cd46d4bccb.73697265657368612d7468657369732d7072657072696e74202831292e706466.pdf" TargetMode="External"/><Relationship Id="rId53" Type="http://schemas.openxmlformats.org/officeDocument/2006/relationships/hyperlink" Target="https://www.mdpi.com/2078-2489/15/8/500" TargetMode="External"/><Relationship Id="rId52" Type="http://schemas.openxmlformats.org/officeDocument/2006/relationships/hyperlink" Target="https://link.springer.com/chapter/10.1007/978-981-96-6606-5_12" TargetMode="External"/><Relationship Id="rId55" Type="http://schemas.openxmlformats.org/officeDocument/2006/relationships/hyperlink" Target="https://direct.mit.edu/tacl/article/doi/10.1162/tacl_a_00653/120649" TargetMode="External"/><Relationship Id="rId54" Type="http://schemas.openxmlformats.org/officeDocument/2006/relationships/hyperlink" Target="https://ieeexplore.ieee.org/abstract/document/9774397/" TargetMode="External"/><Relationship Id="rId57" Type="http://schemas.openxmlformats.org/officeDocument/2006/relationships/hyperlink" Target="https://ceur-ws.org/Vol-3625/paper12.pdf" TargetMode="External"/><Relationship Id="rId56" Type="http://schemas.openxmlformats.org/officeDocument/2006/relationships/hyperlink" Target="https://www.preprints.org/manuscript/202508.0955/download/final_file" TargetMode="External"/><Relationship Id="rId59" Type="http://schemas.openxmlformats.org/officeDocument/2006/relationships/hyperlink" Target="https://link.springer.com/chapter/10.1007/978-981-99-7947-9_10" TargetMode="External"/><Relationship Id="rId58" Type="http://schemas.openxmlformats.org/officeDocument/2006/relationships/hyperlink" Target="https://www.frontiersin.org/articles/10.3389/fpsyg.2021.703690/full"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cs.okstate.edu/~chriscrick/Madjidi-DSAI-24.pdf" TargetMode="External"/><Relationship Id="rId21" Type="http://schemas.openxmlformats.org/officeDocument/2006/relationships/drawing" Target="../drawings/drawing5.xml"/><Relationship Id="rId11" Type="http://schemas.openxmlformats.org/officeDocument/2006/relationships/hyperlink" Target="https://core.ac.uk/download/pdf/541362287.pdf" TargetMode="External"/><Relationship Id="rId10" Type="http://schemas.openxmlformats.org/officeDocument/2006/relationships/hyperlink" Target="https://journals.plos.org/plosone/article?id=10.1371%2Fjournal.pone.0283622" TargetMode="External"/><Relationship Id="rId13" Type="http://schemas.openxmlformats.org/officeDocument/2006/relationships/hyperlink" Target="https://arxiv.org/abs/2212.05702?utm_source=chatgpt.com" TargetMode="External"/><Relationship Id="rId12" Type="http://schemas.openxmlformats.org/officeDocument/2006/relationships/hyperlink" Target="https://semarakilmu.com.my/journals/index.php/applied_sciences_eng_tech/article/view/2003/2900" TargetMode="External"/><Relationship Id="rId15" Type="http://schemas.openxmlformats.org/officeDocument/2006/relationships/hyperlink" Target="https://arxiv.org/abs/2410.17901" TargetMode="External"/><Relationship Id="rId14" Type="http://schemas.openxmlformats.org/officeDocument/2006/relationships/hyperlink" Target="https://arxiv.org/abs/2109.02903?utm_source=chatgpt.com" TargetMode="External"/><Relationship Id="rId17" Type="http://schemas.openxmlformats.org/officeDocument/2006/relationships/hyperlink" Target="https://doi.org/10.1038/s41598-023-50879-7" TargetMode="External"/><Relationship Id="rId16" Type="http://schemas.openxmlformats.org/officeDocument/2006/relationships/hyperlink" Target="https://arxiv.org/abs/2502.05729" TargetMode="External"/><Relationship Id="rId19" Type="http://schemas.openxmlformats.org/officeDocument/2006/relationships/hyperlink" Target="https://arxiv.org/abs/2410.19821" TargetMode="External"/><Relationship Id="rId18" Type="http://schemas.openxmlformats.org/officeDocument/2006/relationships/hyperlink" Target="https://www.ijstr.org/final-print/mar2020/Advanced-Machine-Learning-Techniques-To-Assist-Dyslexic-Children-For-Easy-Readability.pdf" TargetMode="External"/><Relationship Id="rId1" Type="http://schemas.openxmlformats.org/officeDocument/2006/relationships/hyperlink" Target="https://doi.org/10.1007/s11881-021-00227-z" TargetMode="External"/><Relationship Id="rId2" Type="http://schemas.openxmlformats.org/officeDocument/2006/relationships/hyperlink" Target="https://papers.iafor.org/wp-content/uploads/papers/ace2019/ACE2019_54553.pdf?t=8" TargetMode="External"/><Relationship Id="rId3" Type="http://schemas.openxmlformats.org/officeDocument/2006/relationships/hyperlink" Target="https://link.springer.com/chapter/10.1007/978-3-031-93864-1_22" TargetMode="External"/><Relationship Id="rId4" Type="http://schemas.openxmlformats.org/officeDocument/2006/relationships/hyperlink" Target="https://arxiv.org/abs/2307.14544" TargetMode="External"/><Relationship Id="rId9" Type="http://schemas.openxmlformats.org/officeDocument/2006/relationships/hyperlink" Target="https://proceedings.neurips.cc/paper_files/paper/2024/hash/7dfcaf4512bbf2a807a783b90afb6c09-Abstract-Datasets_and_Benchmarks_Track.html" TargetMode="External"/><Relationship Id="rId5" Type="http://schemas.openxmlformats.org/officeDocument/2006/relationships/hyperlink" Target="https://arxiv.org/pdf/2504.00941" TargetMode="External"/><Relationship Id="rId6" Type="http://schemas.openxmlformats.org/officeDocument/2006/relationships/hyperlink" Target="https://aclanthology.org/L16-1045/" TargetMode="External"/><Relationship Id="rId7" Type="http://schemas.openxmlformats.org/officeDocument/2006/relationships/hyperlink" Target="https://ieeexplore.ieee.org/stamp/stamp.jsp?tp=&amp;arnumber=11086272" TargetMode="External"/><Relationship Id="rId8" Type="http://schemas.openxmlformats.org/officeDocument/2006/relationships/hyperlink" Target="https://arxiv.org/abs/2507.15272"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4.5"/>
  </cols>
  <sheetData>
    <row r="1">
      <c r="A1" s="1" t="s">
        <v>0</v>
      </c>
      <c r="B1" s="1" t="s">
        <v>1</v>
      </c>
    </row>
    <row r="2">
      <c r="A2" s="2" t="s">
        <v>2</v>
      </c>
      <c r="B2" s="1" t="s">
        <v>3</v>
      </c>
    </row>
    <row r="3">
      <c r="B3" s="1" t="s">
        <v>4</v>
      </c>
    </row>
    <row r="4">
      <c r="B4" s="1" t="s">
        <v>5</v>
      </c>
    </row>
    <row r="5">
      <c r="B5" s="1" t="s">
        <v>6</v>
      </c>
      <c r="F5" s="3"/>
    </row>
    <row r="6">
      <c r="B6" s="1" t="s">
        <v>7</v>
      </c>
    </row>
    <row r="7">
      <c r="B7" s="1" t="s">
        <v>8</v>
      </c>
    </row>
    <row r="8">
      <c r="B8" s="1" t="s">
        <v>9</v>
      </c>
    </row>
    <row r="9">
      <c r="B9" s="1" t="s">
        <v>10</v>
      </c>
    </row>
    <row r="10">
      <c r="B10" s="1" t="s">
        <v>11</v>
      </c>
    </row>
    <row r="11">
      <c r="B11" s="1" t="s">
        <v>12</v>
      </c>
    </row>
    <row r="12">
      <c r="B12" s="1" t="s">
        <v>13</v>
      </c>
    </row>
    <row r="13">
      <c r="B13" s="1" t="s">
        <v>14</v>
      </c>
    </row>
    <row r="14">
      <c r="B14" s="1" t="s">
        <v>15</v>
      </c>
    </row>
    <row r="15">
      <c r="B15" s="1" t="s">
        <v>16</v>
      </c>
    </row>
    <row r="16">
      <c r="B16" s="1" t="s">
        <v>17</v>
      </c>
    </row>
  </sheetData>
  <mergeCells count="1">
    <mergeCell ref="A2:A1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4.75"/>
    <col customWidth="1" min="3" max="3" width="22.75"/>
    <col customWidth="1" min="4" max="4" width="24.75"/>
    <col customWidth="1" min="5" max="5" width="15.5"/>
    <col customWidth="1" min="7" max="7" width="20.63"/>
  </cols>
  <sheetData>
    <row r="1">
      <c r="A1" s="4" t="s">
        <v>18</v>
      </c>
      <c r="B1" s="5" t="s">
        <v>19</v>
      </c>
      <c r="C1" s="5" t="s">
        <v>20</v>
      </c>
      <c r="D1" s="5" t="s">
        <v>21</v>
      </c>
      <c r="E1" s="5" t="s">
        <v>22</v>
      </c>
      <c r="F1" s="5" t="s">
        <v>23</v>
      </c>
      <c r="G1" s="5" t="s">
        <v>24</v>
      </c>
      <c r="H1" s="5" t="s">
        <v>25</v>
      </c>
      <c r="I1" s="5"/>
      <c r="J1" s="5"/>
      <c r="K1" s="5"/>
      <c r="L1" s="5"/>
      <c r="M1" s="5"/>
      <c r="N1" s="5"/>
      <c r="O1" s="5"/>
      <c r="P1" s="5"/>
      <c r="Q1" s="6"/>
      <c r="R1" s="6"/>
      <c r="S1" s="6"/>
      <c r="T1" s="6"/>
      <c r="U1" s="6"/>
      <c r="V1" s="6"/>
      <c r="W1" s="6"/>
      <c r="X1" s="6"/>
      <c r="Y1" s="6"/>
      <c r="Z1" s="6"/>
    </row>
    <row r="2">
      <c r="A2" s="7" t="s">
        <v>26</v>
      </c>
      <c r="B2" s="8">
        <v>2019.0</v>
      </c>
      <c r="C2" s="9" t="s">
        <v>27</v>
      </c>
      <c r="D2" s="10" t="s">
        <v>28</v>
      </c>
      <c r="E2" s="8" t="s">
        <v>29</v>
      </c>
      <c r="F2" s="11" t="s">
        <v>30</v>
      </c>
      <c r="G2" s="5" t="s">
        <v>31</v>
      </c>
      <c r="H2" s="5" t="s">
        <v>32</v>
      </c>
      <c r="I2" s="6"/>
      <c r="J2" s="6"/>
      <c r="K2" s="5"/>
      <c r="L2" s="6"/>
      <c r="M2" s="6"/>
      <c r="N2" s="6"/>
      <c r="O2" s="6"/>
      <c r="P2" s="6"/>
      <c r="Q2" s="6"/>
      <c r="R2" s="6"/>
      <c r="S2" s="6"/>
      <c r="T2" s="6"/>
      <c r="U2" s="6"/>
      <c r="V2" s="6"/>
      <c r="W2" s="6"/>
      <c r="X2" s="6"/>
      <c r="Y2" s="6"/>
      <c r="Z2" s="6"/>
    </row>
    <row r="3">
      <c r="A3" s="4" t="s">
        <v>33</v>
      </c>
      <c r="B3" s="8">
        <v>2007.0</v>
      </c>
      <c r="C3" s="8" t="s">
        <v>34</v>
      </c>
      <c r="D3" s="8" t="s">
        <v>35</v>
      </c>
      <c r="E3" s="5" t="s">
        <v>2</v>
      </c>
      <c r="F3" s="11" t="s">
        <v>36</v>
      </c>
      <c r="G3" s="5" t="s">
        <v>37</v>
      </c>
      <c r="H3" s="5" t="s">
        <v>32</v>
      </c>
      <c r="I3" s="6"/>
      <c r="J3" s="6"/>
      <c r="K3" s="5"/>
      <c r="L3" s="6"/>
      <c r="M3" s="6"/>
      <c r="N3" s="6"/>
      <c r="O3" s="6"/>
      <c r="P3" s="6"/>
      <c r="Q3" s="6"/>
      <c r="R3" s="6"/>
      <c r="S3" s="6"/>
      <c r="T3" s="6"/>
      <c r="U3" s="6"/>
      <c r="V3" s="6"/>
      <c r="W3" s="6"/>
      <c r="X3" s="6"/>
      <c r="Y3" s="6"/>
      <c r="Z3" s="6"/>
    </row>
    <row r="4">
      <c r="A4" s="7" t="s">
        <v>38</v>
      </c>
      <c r="B4" s="8">
        <v>2025.0</v>
      </c>
      <c r="C4" s="8" t="s">
        <v>39</v>
      </c>
      <c r="D4" s="8" t="s">
        <v>40</v>
      </c>
      <c r="E4" s="8" t="s">
        <v>41</v>
      </c>
      <c r="F4" s="11" t="s">
        <v>42</v>
      </c>
      <c r="G4" s="5" t="s">
        <v>37</v>
      </c>
      <c r="H4" s="5" t="s">
        <v>32</v>
      </c>
      <c r="I4" s="6"/>
      <c r="J4" s="5"/>
      <c r="K4" s="5"/>
      <c r="L4" s="6"/>
      <c r="M4" s="6"/>
      <c r="N4" s="6"/>
      <c r="O4" s="6"/>
      <c r="P4" s="6"/>
      <c r="Q4" s="6"/>
      <c r="R4" s="6"/>
      <c r="S4" s="6"/>
      <c r="T4" s="6"/>
      <c r="U4" s="6"/>
      <c r="V4" s="6"/>
      <c r="W4" s="6"/>
      <c r="X4" s="6"/>
      <c r="Y4" s="6"/>
      <c r="Z4" s="6"/>
    </row>
    <row r="5">
      <c r="A5" s="7" t="s">
        <v>43</v>
      </c>
      <c r="B5" s="8">
        <v>2024.0</v>
      </c>
      <c r="C5" s="8" t="s">
        <v>44</v>
      </c>
      <c r="D5" s="8" t="s">
        <v>45</v>
      </c>
      <c r="E5" s="8" t="s">
        <v>46</v>
      </c>
      <c r="F5" s="11" t="s">
        <v>47</v>
      </c>
      <c r="G5" s="5" t="s">
        <v>37</v>
      </c>
      <c r="H5" s="5" t="s">
        <v>32</v>
      </c>
      <c r="I5" s="6"/>
      <c r="J5" s="5"/>
      <c r="K5" s="6"/>
      <c r="L5" s="5"/>
      <c r="M5" s="5"/>
      <c r="N5" s="6"/>
      <c r="O5" s="6"/>
      <c r="P5" s="6"/>
      <c r="Q5" s="6"/>
      <c r="R5" s="6"/>
      <c r="S5" s="6"/>
      <c r="T5" s="6"/>
      <c r="U5" s="6"/>
      <c r="V5" s="6"/>
      <c r="W5" s="6"/>
      <c r="X5" s="6"/>
      <c r="Y5" s="6"/>
      <c r="Z5" s="6"/>
    </row>
    <row r="6">
      <c r="A6" s="7" t="s">
        <v>48</v>
      </c>
      <c r="B6" s="8">
        <v>2017.0</v>
      </c>
      <c r="C6" s="8" t="s">
        <v>49</v>
      </c>
      <c r="D6" s="8" t="s">
        <v>50</v>
      </c>
      <c r="E6" s="8" t="s">
        <v>51</v>
      </c>
      <c r="F6" s="12" t="s">
        <v>52</v>
      </c>
      <c r="G6" s="5" t="s">
        <v>37</v>
      </c>
      <c r="H6" s="5" t="s">
        <v>32</v>
      </c>
      <c r="I6" s="6"/>
      <c r="J6" s="6"/>
      <c r="K6" s="6"/>
      <c r="L6" s="6"/>
      <c r="M6" s="6"/>
      <c r="N6" s="6"/>
      <c r="O6" s="6"/>
      <c r="P6" s="6"/>
      <c r="Q6" s="6"/>
      <c r="R6" s="6"/>
      <c r="S6" s="6"/>
      <c r="T6" s="6"/>
      <c r="U6" s="6"/>
      <c r="V6" s="6"/>
      <c r="W6" s="6"/>
      <c r="X6" s="6"/>
      <c r="Y6" s="6"/>
      <c r="Z6" s="6"/>
    </row>
    <row r="7">
      <c r="A7" s="7" t="s">
        <v>53</v>
      </c>
      <c r="B7" s="8">
        <v>2019.0</v>
      </c>
      <c r="C7" s="8" t="s">
        <v>54</v>
      </c>
      <c r="D7" s="8" t="s">
        <v>55</v>
      </c>
      <c r="E7" s="8" t="s">
        <v>51</v>
      </c>
      <c r="F7" s="11" t="s">
        <v>56</v>
      </c>
      <c r="G7" s="5" t="s">
        <v>37</v>
      </c>
      <c r="H7" s="5" t="s">
        <v>32</v>
      </c>
      <c r="I7" s="6"/>
      <c r="J7" s="6"/>
      <c r="K7" s="5"/>
      <c r="L7" s="6"/>
      <c r="M7" s="6"/>
      <c r="N7" s="6"/>
      <c r="O7" s="6"/>
      <c r="P7" s="6"/>
      <c r="Q7" s="6"/>
      <c r="R7" s="6"/>
      <c r="S7" s="6"/>
      <c r="T7" s="6"/>
      <c r="U7" s="6"/>
      <c r="V7" s="6"/>
      <c r="W7" s="6"/>
      <c r="X7" s="6"/>
      <c r="Y7" s="6"/>
      <c r="Z7" s="6"/>
    </row>
    <row r="8">
      <c r="A8" s="4" t="s">
        <v>57</v>
      </c>
      <c r="B8" s="8">
        <v>2008.0</v>
      </c>
      <c r="C8" s="8" t="s">
        <v>58</v>
      </c>
      <c r="D8" s="8" t="s">
        <v>59</v>
      </c>
      <c r="E8" s="8" t="s">
        <v>60</v>
      </c>
      <c r="F8" s="13" t="s">
        <v>61</v>
      </c>
      <c r="G8" s="5" t="s">
        <v>37</v>
      </c>
      <c r="H8" s="5" t="s">
        <v>32</v>
      </c>
      <c r="I8" s="6"/>
      <c r="J8" s="6"/>
      <c r="K8" s="5"/>
      <c r="L8" s="6"/>
      <c r="M8" s="6"/>
      <c r="N8" s="6"/>
      <c r="O8" s="6"/>
      <c r="P8" s="6"/>
      <c r="Q8" s="6"/>
      <c r="R8" s="6"/>
      <c r="S8" s="6"/>
      <c r="T8" s="6"/>
      <c r="U8" s="6"/>
      <c r="V8" s="6"/>
      <c r="W8" s="6"/>
      <c r="X8" s="6"/>
      <c r="Y8" s="6"/>
      <c r="Z8" s="6"/>
    </row>
    <row r="9">
      <c r="A9" s="7" t="s">
        <v>62</v>
      </c>
      <c r="B9" s="8">
        <v>2021.0</v>
      </c>
      <c r="C9" s="8" t="s">
        <v>63</v>
      </c>
      <c r="D9" s="8" t="s">
        <v>64</v>
      </c>
      <c r="E9" s="8" t="s">
        <v>65</v>
      </c>
      <c r="F9" s="11" t="s">
        <v>66</v>
      </c>
      <c r="G9" s="5" t="s">
        <v>37</v>
      </c>
      <c r="H9" s="5" t="s">
        <v>32</v>
      </c>
      <c r="I9" s="5"/>
      <c r="J9" s="6"/>
      <c r="K9" s="6"/>
      <c r="L9" s="6"/>
      <c r="M9" s="6"/>
      <c r="N9" s="5"/>
      <c r="O9" s="6"/>
      <c r="P9" s="6"/>
      <c r="Q9" s="6"/>
      <c r="R9" s="6"/>
      <c r="S9" s="6"/>
      <c r="T9" s="6"/>
      <c r="U9" s="6"/>
      <c r="V9" s="6"/>
      <c r="W9" s="6"/>
      <c r="X9" s="6"/>
      <c r="Y9" s="6"/>
      <c r="Z9" s="6"/>
    </row>
    <row r="10">
      <c r="A10" s="14" t="s">
        <v>67</v>
      </c>
      <c r="B10" s="8">
        <v>2001.0</v>
      </c>
      <c r="C10" s="15" t="s">
        <v>68</v>
      </c>
      <c r="D10" s="8" t="s">
        <v>69</v>
      </c>
      <c r="E10" s="16" t="s">
        <v>2</v>
      </c>
      <c r="F10" s="17" t="s">
        <v>70</v>
      </c>
      <c r="G10" s="5" t="s">
        <v>37</v>
      </c>
      <c r="H10" s="5" t="s">
        <v>32</v>
      </c>
      <c r="I10" s="6"/>
      <c r="J10" s="6"/>
      <c r="K10" s="6"/>
      <c r="L10" s="6"/>
      <c r="M10" s="6"/>
      <c r="N10" s="6"/>
      <c r="O10" s="6"/>
      <c r="P10" s="6"/>
      <c r="Q10" s="6"/>
      <c r="R10" s="6"/>
      <c r="S10" s="6"/>
      <c r="T10" s="6"/>
      <c r="U10" s="6"/>
      <c r="V10" s="6"/>
      <c r="W10" s="6"/>
      <c r="X10" s="6"/>
      <c r="Y10" s="6"/>
      <c r="Z10" s="6"/>
    </row>
    <row r="11">
      <c r="A11" s="7" t="s">
        <v>71</v>
      </c>
      <c r="B11" s="8">
        <v>2019.0</v>
      </c>
      <c r="C11" s="8" t="s">
        <v>72</v>
      </c>
      <c r="D11" s="8" t="s">
        <v>73</v>
      </c>
      <c r="E11" s="16" t="s">
        <v>2</v>
      </c>
      <c r="F11" s="18" t="s">
        <v>74</v>
      </c>
      <c r="G11" s="5" t="s">
        <v>37</v>
      </c>
      <c r="H11" s="5" t="s">
        <v>32</v>
      </c>
      <c r="I11" s="5"/>
      <c r="J11" s="5"/>
      <c r="K11" s="5"/>
      <c r="L11" s="6"/>
      <c r="M11" s="6"/>
      <c r="N11" s="5"/>
      <c r="O11" s="6"/>
      <c r="P11" s="6"/>
      <c r="Q11" s="6"/>
      <c r="R11" s="6"/>
      <c r="S11" s="6"/>
      <c r="T11" s="6"/>
      <c r="U11" s="6"/>
      <c r="V11" s="6"/>
      <c r="W11" s="6"/>
      <c r="X11" s="6"/>
      <c r="Y11" s="6"/>
      <c r="Z11" s="6"/>
    </row>
    <row r="12">
      <c r="A12" s="7" t="s">
        <v>75</v>
      </c>
      <c r="B12" s="8">
        <v>2023.0</v>
      </c>
      <c r="C12" s="8" t="s">
        <v>76</v>
      </c>
      <c r="D12" s="8" t="s">
        <v>77</v>
      </c>
      <c r="E12" s="16" t="s">
        <v>2</v>
      </c>
      <c r="F12" s="11" t="s">
        <v>78</v>
      </c>
      <c r="G12" s="5" t="s">
        <v>37</v>
      </c>
      <c r="H12" s="5" t="s">
        <v>79</v>
      </c>
      <c r="I12" s="6"/>
      <c r="J12" s="5"/>
      <c r="K12" s="6"/>
      <c r="L12" s="5"/>
      <c r="M12" s="6"/>
      <c r="N12" s="6"/>
      <c r="O12" s="6"/>
      <c r="P12" s="6"/>
      <c r="Q12" s="6"/>
      <c r="R12" s="6"/>
      <c r="S12" s="6"/>
      <c r="T12" s="6"/>
      <c r="U12" s="6"/>
      <c r="V12" s="6"/>
      <c r="W12" s="6"/>
      <c r="X12" s="6"/>
      <c r="Y12" s="6"/>
      <c r="Z12" s="6"/>
    </row>
    <row r="13">
      <c r="A13" s="7" t="s">
        <v>80</v>
      </c>
      <c r="B13" s="8">
        <v>2005.0</v>
      </c>
      <c r="C13" s="19" t="s">
        <v>81</v>
      </c>
      <c r="D13" s="8" t="s">
        <v>82</v>
      </c>
      <c r="E13" s="8" t="s">
        <v>83</v>
      </c>
      <c r="F13" s="11" t="s">
        <v>84</v>
      </c>
      <c r="G13" s="5" t="s">
        <v>37</v>
      </c>
      <c r="H13" s="5" t="s">
        <v>79</v>
      </c>
      <c r="I13" s="6"/>
      <c r="J13" s="6"/>
      <c r="K13" s="5"/>
      <c r="L13" s="5"/>
      <c r="M13" s="6"/>
      <c r="N13" s="6"/>
      <c r="O13" s="6"/>
      <c r="P13" s="6"/>
      <c r="Q13" s="6"/>
      <c r="R13" s="6"/>
      <c r="S13" s="6"/>
      <c r="T13" s="6"/>
      <c r="U13" s="6"/>
      <c r="V13" s="6"/>
      <c r="W13" s="6"/>
      <c r="X13" s="6"/>
      <c r="Y13" s="6"/>
      <c r="Z13" s="6"/>
    </row>
    <row r="14">
      <c r="A14" s="7" t="s">
        <v>85</v>
      </c>
      <c r="B14" s="8">
        <v>2023.0</v>
      </c>
      <c r="C14" s="8" t="s">
        <v>86</v>
      </c>
      <c r="D14" s="15" t="s">
        <v>87</v>
      </c>
      <c r="E14" s="5" t="s">
        <v>2</v>
      </c>
      <c r="F14" s="11" t="s">
        <v>88</v>
      </c>
      <c r="G14" s="5" t="s">
        <v>37</v>
      </c>
      <c r="H14" s="5" t="s">
        <v>79</v>
      </c>
      <c r="I14" s="5"/>
      <c r="J14" s="6"/>
      <c r="K14" s="6"/>
      <c r="L14" s="5"/>
      <c r="M14" s="5"/>
      <c r="N14" s="5"/>
      <c r="O14" s="6"/>
      <c r="P14" s="6"/>
      <c r="Q14" s="6"/>
      <c r="R14" s="6"/>
      <c r="S14" s="6"/>
      <c r="T14" s="6"/>
      <c r="U14" s="6"/>
      <c r="V14" s="6"/>
      <c r="W14" s="6"/>
      <c r="X14" s="6"/>
      <c r="Y14" s="6"/>
      <c r="Z14" s="6"/>
    </row>
    <row r="15">
      <c r="A15" s="7" t="s">
        <v>89</v>
      </c>
      <c r="B15" s="5">
        <v>2013.0</v>
      </c>
      <c r="C15" s="5" t="s">
        <v>90</v>
      </c>
      <c r="D15" s="5" t="s">
        <v>91</v>
      </c>
      <c r="E15" s="5" t="s">
        <v>2</v>
      </c>
      <c r="F15" s="5" t="s">
        <v>92</v>
      </c>
      <c r="G15" s="5" t="s">
        <v>37</v>
      </c>
      <c r="H15" s="5" t="s">
        <v>79</v>
      </c>
      <c r="I15" s="5"/>
      <c r="J15" s="5"/>
      <c r="K15" s="6"/>
      <c r="L15" s="5"/>
      <c r="M15" s="6"/>
      <c r="N15" s="5"/>
      <c r="O15" s="6"/>
      <c r="P15" s="6"/>
      <c r="Q15" s="6"/>
      <c r="R15" s="6"/>
      <c r="S15" s="6"/>
      <c r="T15" s="6"/>
      <c r="U15" s="6"/>
      <c r="V15" s="6"/>
      <c r="W15" s="6"/>
      <c r="X15" s="6"/>
      <c r="Y15" s="6"/>
      <c r="Z15" s="6"/>
    </row>
    <row r="16">
      <c r="A16" s="7" t="s">
        <v>93</v>
      </c>
      <c r="B16" s="5">
        <v>2014.0</v>
      </c>
      <c r="C16" s="8" t="s">
        <v>94</v>
      </c>
      <c r="D16" s="8" t="s">
        <v>95</v>
      </c>
      <c r="E16" s="5" t="s">
        <v>96</v>
      </c>
      <c r="F16" s="11" t="s">
        <v>97</v>
      </c>
      <c r="G16" s="5" t="s">
        <v>37</v>
      </c>
      <c r="H16" s="5" t="s">
        <v>79</v>
      </c>
      <c r="I16" s="6"/>
      <c r="J16" s="5"/>
      <c r="K16" s="6"/>
      <c r="L16" s="5"/>
      <c r="M16" s="6"/>
      <c r="N16" s="6"/>
      <c r="O16" s="6"/>
      <c r="P16" s="6"/>
      <c r="Q16" s="6"/>
      <c r="R16" s="6"/>
      <c r="S16" s="6"/>
      <c r="T16" s="6"/>
      <c r="U16" s="6"/>
      <c r="V16" s="6"/>
      <c r="W16" s="6"/>
      <c r="X16" s="6"/>
      <c r="Y16" s="6"/>
      <c r="Z16" s="6"/>
    </row>
    <row r="17">
      <c r="A17" s="7" t="s">
        <v>98</v>
      </c>
      <c r="B17" s="5">
        <v>2025.0</v>
      </c>
      <c r="C17" s="5" t="s">
        <v>99</v>
      </c>
      <c r="D17" s="5" t="s">
        <v>100</v>
      </c>
      <c r="E17" s="5" t="s">
        <v>2</v>
      </c>
      <c r="F17" s="11" t="s">
        <v>101</v>
      </c>
      <c r="G17" s="5" t="s">
        <v>102</v>
      </c>
      <c r="H17" s="5" t="s">
        <v>79</v>
      </c>
      <c r="I17" s="6"/>
      <c r="J17" s="5"/>
      <c r="K17" s="6"/>
      <c r="L17" s="5"/>
      <c r="M17" s="6"/>
      <c r="N17" s="6"/>
      <c r="O17" s="6"/>
      <c r="P17" s="6"/>
      <c r="Q17" s="6"/>
      <c r="R17" s="6"/>
      <c r="S17" s="6"/>
      <c r="T17" s="6"/>
      <c r="U17" s="6"/>
      <c r="V17" s="6"/>
      <c r="W17" s="6"/>
      <c r="X17" s="6"/>
      <c r="Y17" s="6"/>
      <c r="Z17" s="6"/>
    </row>
    <row r="18">
      <c r="A18" s="14" t="s">
        <v>103</v>
      </c>
      <c r="B18" s="5">
        <v>2025.0</v>
      </c>
      <c r="C18" s="5" t="s">
        <v>104</v>
      </c>
      <c r="D18" s="8" t="s">
        <v>105</v>
      </c>
      <c r="E18" s="5" t="s">
        <v>2</v>
      </c>
      <c r="F18" s="11" t="s">
        <v>106</v>
      </c>
      <c r="G18" s="5" t="s">
        <v>37</v>
      </c>
      <c r="H18" s="5" t="s">
        <v>107</v>
      </c>
      <c r="I18" s="6"/>
      <c r="J18" s="5"/>
      <c r="K18" s="5"/>
      <c r="L18" s="6"/>
      <c r="M18" s="6"/>
      <c r="N18" s="6"/>
      <c r="O18" s="6"/>
      <c r="P18" s="6"/>
      <c r="Q18" s="6"/>
      <c r="R18" s="6"/>
      <c r="S18" s="6"/>
      <c r="T18" s="6"/>
      <c r="U18" s="6"/>
      <c r="V18" s="6"/>
      <c r="W18" s="6"/>
      <c r="X18" s="6"/>
      <c r="Y18" s="6"/>
      <c r="Z18" s="6"/>
    </row>
    <row r="19">
      <c r="A19" s="7" t="s">
        <v>108</v>
      </c>
      <c r="B19" s="5">
        <v>2021.0</v>
      </c>
      <c r="C19" s="20" t="s">
        <v>109</v>
      </c>
      <c r="D19" s="5" t="s">
        <v>110</v>
      </c>
      <c r="E19" s="5" t="s">
        <v>41</v>
      </c>
      <c r="F19" s="8" t="s">
        <v>111</v>
      </c>
      <c r="G19" s="5" t="s">
        <v>37</v>
      </c>
      <c r="H19" s="5" t="s">
        <v>107</v>
      </c>
      <c r="I19" s="6"/>
      <c r="J19" s="5"/>
      <c r="K19" s="6"/>
      <c r="L19" s="6"/>
      <c r="M19" s="6"/>
      <c r="N19" s="6"/>
      <c r="O19" s="6"/>
      <c r="P19" s="6"/>
      <c r="Q19" s="6"/>
      <c r="R19" s="6"/>
      <c r="S19" s="6"/>
      <c r="T19" s="6"/>
      <c r="U19" s="6"/>
      <c r="V19" s="6"/>
      <c r="W19" s="6"/>
      <c r="X19" s="6"/>
      <c r="Y19" s="6"/>
      <c r="Z19" s="6"/>
    </row>
    <row r="20">
      <c r="A20" s="21" t="s">
        <v>112</v>
      </c>
      <c r="B20" s="5">
        <v>2012.0</v>
      </c>
      <c r="C20" s="5" t="s">
        <v>113</v>
      </c>
      <c r="D20" s="8" t="s">
        <v>114</v>
      </c>
      <c r="E20" s="5" t="s">
        <v>115</v>
      </c>
      <c r="F20" s="11" t="s">
        <v>116</v>
      </c>
      <c r="G20" s="5" t="s">
        <v>37</v>
      </c>
      <c r="H20" s="5" t="s">
        <v>107</v>
      </c>
      <c r="I20" s="6"/>
      <c r="J20" s="6"/>
      <c r="K20" s="6"/>
      <c r="L20" s="6"/>
      <c r="M20" s="6"/>
      <c r="N20" s="6"/>
      <c r="O20" s="6"/>
      <c r="P20" s="6"/>
      <c r="Q20" s="6"/>
      <c r="R20" s="6"/>
      <c r="S20" s="6"/>
      <c r="T20" s="6"/>
      <c r="U20" s="6"/>
      <c r="V20" s="6"/>
      <c r="W20" s="6"/>
      <c r="X20" s="6"/>
      <c r="Y20" s="6"/>
      <c r="Z20" s="6"/>
    </row>
    <row r="21">
      <c r="A21" s="7" t="s">
        <v>117</v>
      </c>
      <c r="B21" s="5">
        <v>2000.0</v>
      </c>
      <c r="C21" s="5" t="s">
        <v>118</v>
      </c>
      <c r="D21" s="22" t="s">
        <v>119</v>
      </c>
      <c r="E21" s="5" t="s">
        <v>51</v>
      </c>
      <c r="F21" s="23" t="s">
        <v>120</v>
      </c>
      <c r="G21" s="5" t="s">
        <v>37</v>
      </c>
      <c r="H21" s="5" t="s">
        <v>107</v>
      </c>
      <c r="I21" s="6"/>
      <c r="J21" s="6"/>
      <c r="K21" s="6"/>
      <c r="L21" s="6"/>
      <c r="M21" s="6"/>
      <c r="N21" s="6"/>
      <c r="O21" s="6"/>
      <c r="P21" s="6"/>
      <c r="Q21" s="6"/>
      <c r="R21" s="6"/>
      <c r="S21" s="6"/>
      <c r="T21" s="6"/>
      <c r="U21" s="6"/>
      <c r="V21" s="6"/>
      <c r="W21" s="6"/>
      <c r="X21" s="6"/>
      <c r="Y21" s="6"/>
      <c r="Z21" s="6"/>
    </row>
    <row r="22">
      <c r="A22" s="14" t="s">
        <v>121</v>
      </c>
      <c r="B22" s="8">
        <v>2015.0</v>
      </c>
      <c r="C22" s="15" t="s">
        <v>122</v>
      </c>
      <c r="D22" s="15" t="s">
        <v>123</v>
      </c>
      <c r="E22" s="5" t="s">
        <v>51</v>
      </c>
      <c r="F22" s="11" t="s">
        <v>124</v>
      </c>
      <c r="G22" s="5" t="s">
        <v>37</v>
      </c>
      <c r="H22" s="5" t="s">
        <v>107</v>
      </c>
      <c r="I22" s="6"/>
      <c r="J22" s="6"/>
      <c r="K22" s="6"/>
      <c r="L22" s="6"/>
      <c r="M22" s="6"/>
      <c r="N22" s="6"/>
      <c r="O22" s="6"/>
      <c r="P22" s="6"/>
      <c r="Q22" s="6"/>
      <c r="R22" s="6"/>
      <c r="S22" s="6"/>
      <c r="T22" s="6"/>
      <c r="U22" s="6"/>
      <c r="V22" s="6"/>
      <c r="W22" s="6"/>
      <c r="X22" s="6"/>
      <c r="Y22" s="6"/>
      <c r="Z22" s="6"/>
    </row>
    <row r="23">
      <c r="A23" s="7" t="s">
        <v>125</v>
      </c>
      <c r="B23" s="8">
        <v>2013.0</v>
      </c>
      <c r="C23" s="24" t="s">
        <v>126</v>
      </c>
      <c r="D23" s="8" t="s">
        <v>127</v>
      </c>
      <c r="E23" s="8" t="s">
        <v>29</v>
      </c>
      <c r="F23" s="11" t="s">
        <v>128</v>
      </c>
      <c r="G23" s="5" t="s">
        <v>37</v>
      </c>
      <c r="H23" s="5" t="s">
        <v>107</v>
      </c>
      <c r="I23" s="6"/>
      <c r="J23" s="6"/>
      <c r="K23" s="6"/>
      <c r="L23" s="6"/>
      <c r="M23" s="6"/>
      <c r="N23" s="6"/>
      <c r="O23" s="6"/>
      <c r="P23" s="6"/>
      <c r="Q23" s="6"/>
      <c r="R23" s="6"/>
      <c r="S23" s="6"/>
      <c r="T23" s="6"/>
      <c r="U23" s="6"/>
      <c r="V23" s="6"/>
      <c r="W23" s="6"/>
      <c r="X23" s="6"/>
      <c r="Y23" s="6"/>
      <c r="Z23" s="6"/>
    </row>
    <row r="24">
      <c r="A24" s="25" t="s">
        <v>129</v>
      </c>
      <c r="B24" s="8">
        <v>2016.0</v>
      </c>
      <c r="C24" s="8" t="s">
        <v>130</v>
      </c>
      <c r="D24" s="15" t="s">
        <v>131</v>
      </c>
      <c r="E24" s="26" t="s">
        <v>132</v>
      </c>
      <c r="F24" s="11" t="s">
        <v>133</v>
      </c>
      <c r="G24" s="5" t="s">
        <v>37</v>
      </c>
      <c r="H24" s="27" t="s">
        <v>134</v>
      </c>
      <c r="I24" s="6"/>
      <c r="J24" s="6"/>
      <c r="K24" s="6"/>
      <c r="L24" s="5"/>
      <c r="M24" s="6"/>
      <c r="N24" s="6"/>
      <c r="O24" s="6"/>
      <c r="P24" s="6"/>
      <c r="Q24" s="6"/>
      <c r="R24" s="6"/>
      <c r="S24" s="6"/>
      <c r="T24" s="6"/>
      <c r="U24" s="6"/>
      <c r="V24" s="6"/>
      <c r="W24" s="6"/>
      <c r="X24" s="6"/>
      <c r="Y24" s="6"/>
      <c r="Z24" s="6"/>
    </row>
    <row r="25">
      <c r="A25" s="28" t="s">
        <v>135</v>
      </c>
      <c r="B25" s="29">
        <v>2021.0</v>
      </c>
      <c r="C25" s="8" t="s">
        <v>136</v>
      </c>
      <c r="D25" s="15" t="s">
        <v>137</v>
      </c>
      <c r="E25" s="26" t="s">
        <v>132</v>
      </c>
      <c r="F25" s="11" t="s">
        <v>138</v>
      </c>
      <c r="G25" s="5" t="s">
        <v>37</v>
      </c>
      <c r="H25" s="27" t="s">
        <v>134</v>
      </c>
      <c r="I25" s="6"/>
      <c r="J25" s="5"/>
      <c r="K25" s="6"/>
      <c r="L25" s="6"/>
      <c r="M25" s="6"/>
      <c r="N25" s="5"/>
      <c r="O25" s="6"/>
      <c r="P25" s="6"/>
      <c r="Q25" s="6"/>
      <c r="R25" s="6"/>
      <c r="S25" s="6"/>
      <c r="T25" s="6"/>
      <c r="U25" s="6"/>
      <c r="V25" s="6"/>
      <c r="W25" s="6"/>
      <c r="X25" s="6"/>
      <c r="Y25" s="6"/>
      <c r="Z25" s="6"/>
    </row>
    <row r="26">
      <c r="A26" s="14" t="s">
        <v>139</v>
      </c>
      <c r="B26" s="8">
        <v>2007.0</v>
      </c>
      <c r="C26" s="15" t="s">
        <v>140</v>
      </c>
      <c r="D26" s="15" t="s">
        <v>141</v>
      </c>
      <c r="E26" s="5" t="s">
        <v>2</v>
      </c>
      <c r="F26" s="11" t="s">
        <v>142</v>
      </c>
      <c r="G26" s="5" t="s">
        <v>37</v>
      </c>
      <c r="H26" s="5" t="s">
        <v>143</v>
      </c>
      <c r="I26" s="6"/>
      <c r="J26" s="6"/>
      <c r="K26" s="6"/>
      <c r="L26" s="6"/>
      <c r="M26" s="6"/>
      <c r="N26" s="6"/>
      <c r="O26" s="6"/>
      <c r="P26" s="6"/>
      <c r="Q26" s="6"/>
      <c r="R26" s="6"/>
      <c r="S26" s="6"/>
      <c r="T26" s="6"/>
      <c r="U26" s="6"/>
      <c r="V26" s="6"/>
      <c r="W26" s="6"/>
      <c r="X26" s="6"/>
      <c r="Y26" s="6"/>
      <c r="Z26" s="6"/>
    </row>
    <row r="27">
      <c r="A27" s="7" t="s">
        <v>144</v>
      </c>
      <c r="B27" s="8">
        <v>2019.0</v>
      </c>
      <c r="C27" s="8" t="s">
        <v>145</v>
      </c>
      <c r="D27" s="8" t="s">
        <v>146</v>
      </c>
      <c r="E27" s="5" t="s">
        <v>2</v>
      </c>
      <c r="F27" s="8" t="s">
        <v>147</v>
      </c>
      <c r="G27" s="8" t="s">
        <v>148</v>
      </c>
      <c r="H27" s="5" t="s">
        <v>143</v>
      </c>
      <c r="I27" s="6"/>
      <c r="J27" s="6"/>
      <c r="K27" s="6"/>
      <c r="L27" s="6"/>
      <c r="M27" s="6"/>
      <c r="N27" s="6"/>
      <c r="O27" s="6"/>
      <c r="P27" s="6"/>
      <c r="Q27" s="6"/>
      <c r="R27" s="6"/>
      <c r="S27" s="6"/>
      <c r="T27" s="6"/>
      <c r="U27" s="6"/>
      <c r="V27" s="6"/>
      <c r="W27" s="6"/>
      <c r="X27" s="6"/>
      <c r="Y27" s="6"/>
      <c r="Z27" s="6"/>
    </row>
    <row r="28">
      <c r="A28" s="7" t="s">
        <v>149</v>
      </c>
      <c r="B28" s="5">
        <v>2020.0</v>
      </c>
      <c r="C28" s="30" t="s">
        <v>150</v>
      </c>
      <c r="D28" s="30" t="s">
        <v>151</v>
      </c>
      <c r="E28" s="5" t="s">
        <v>152</v>
      </c>
      <c r="F28" s="18" t="s">
        <v>153</v>
      </c>
      <c r="G28" s="5" t="s">
        <v>37</v>
      </c>
      <c r="H28" s="5" t="s">
        <v>143</v>
      </c>
      <c r="I28" s="6"/>
      <c r="J28" s="6"/>
      <c r="K28" s="6"/>
      <c r="L28" s="6"/>
      <c r="M28" s="6"/>
      <c r="N28" s="6"/>
      <c r="O28" s="6"/>
      <c r="P28" s="6"/>
      <c r="Q28" s="6"/>
      <c r="R28" s="6"/>
      <c r="S28" s="6"/>
      <c r="T28" s="6"/>
      <c r="U28" s="6"/>
      <c r="V28" s="6"/>
      <c r="W28" s="6"/>
      <c r="X28" s="6"/>
      <c r="Y28" s="6"/>
      <c r="Z28" s="6"/>
    </row>
    <row r="29">
      <c r="A29" s="31" t="s">
        <v>154</v>
      </c>
      <c r="B29" s="8">
        <v>2023.0</v>
      </c>
      <c r="C29" s="32" t="s">
        <v>155</v>
      </c>
      <c r="D29" s="8" t="s">
        <v>156</v>
      </c>
      <c r="E29" s="8" t="s">
        <v>157</v>
      </c>
      <c r="F29" s="11" t="s">
        <v>158</v>
      </c>
      <c r="G29" s="5" t="s">
        <v>37</v>
      </c>
      <c r="H29" s="27" t="s">
        <v>134</v>
      </c>
      <c r="I29" s="6"/>
      <c r="J29" s="6"/>
      <c r="K29" s="6"/>
      <c r="L29" s="6"/>
      <c r="M29" s="6"/>
      <c r="N29" s="5"/>
      <c r="O29" s="6"/>
      <c r="P29" s="6" t="str">
        <f t="shared" ref="P29:P30" si="1">IF(AND(H29=0, I29=0, J29=0, K29=0, L29=0, M29=0, N29=0), "1", "")
</f>
        <v/>
      </c>
      <c r="Q29" s="6"/>
      <c r="R29" s="6"/>
      <c r="S29" s="6"/>
      <c r="T29" s="6"/>
      <c r="U29" s="6"/>
      <c r="V29" s="6"/>
      <c r="W29" s="6"/>
      <c r="X29" s="6"/>
      <c r="Y29" s="6"/>
      <c r="Z29" s="6"/>
    </row>
    <row r="30">
      <c r="A30" s="31" t="s">
        <v>159</v>
      </c>
      <c r="B30" s="29">
        <v>2025.0</v>
      </c>
      <c r="C30" s="8" t="s">
        <v>160</v>
      </c>
      <c r="D30" s="8" t="s">
        <v>161</v>
      </c>
      <c r="E30" s="8" t="s">
        <v>41</v>
      </c>
      <c r="F30" s="8" t="s">
        <v>162</v>
      </c>
      <c r="G30" s="5" t="s">
        <v>37</v>
      </c>
      <c r="H30" s="27" t="s">
        <v>134</v>
      </c>
      <c r="I30" s="6"/>
      <c r="J30" s="5"/>
      <c r="K30" s="6"/>
      <c r="L30" s="6"/>
      <c r="M30" s="5"/>
      <c r="N30" s="5"/>
      <c r="O30" s="6"/>
      <c r="P30" s="6" t="str">
        <f t="shared" si="1"/>
        <v/>
      </c>
      <c r="Q30" s="6"/>
      <c r="R30" s="6"/>
      <c r="S30" s="6"/>
      <c r="T30" s="6"/>
      <c r="U30" s="6"/>
      <c r="V30" s="6"/>
      <c r="W30" s="6"/>
      <c r="X30" s="6"/>
      <c r="Y30" s="6"/>
      <c r="Z30" s="6"/>
    </row>
    <row r="31">
      <c r="A31" s="4" t="s">
        <v>163</v>
      </c>
      <c r="B31" s="5">
        <v>2022.0</v>
      </c>
      <c r="C31" s="5" t="s">
        <v>164</v>
      </c>
      <c r="D31" s="5" t="s">
        <v>165</v>
      </c>
      <c r="E31" s="5" t="s">
        <v>2</v>
      </c>
      <c r="F31" s="11" t="s">
        <v>166</v>
      </c>
      <c r="G31" s="5" t="s">
        <v>102</v>
      </c>
      <c r="H31" s="5" t="s">
        <v>167</v>
      </c>
      <c r="I31" s="6"/>
      <c r="J31" s="6"/>
      <c r="K31" s="6"/>
      <c r="L31" s="6"/>
      <c r="M31" s="6"/>
      <c r="N31" s="6"/>
      <c r="O31" s="6"/>
      <c r="P31" s="6"/>
      <c r="Q31" s="6"/>
      <c r="R31" s="6"/>
      <c r="S31" s="6"/>
      <c r="T31" s="6"/>
      <c r="U31" s="6"/>
      <c r="V31" s="6"/>
      <c r="W31" s="6"/>
      <c r="X31" s="6"/>
      <c r="Y31" s="6"/>
      <c r="Z31" s="6"/>
    </row>
    <row r="32">
      <c r="A32" s="25" t="s">
        <v>168</v>
      </c>
      <c r="B32" s="5">
        <v>2023.0</v>
      </c>
      <c r="C32" s="33" t="s">
        <v>169</v>
      </c>
      <c r="D32" s="5" t="s">
        <v>170</v>
      </c>
      <c r="E32" s="26" t="s">
        <v>132</v>
      </c>
      <c r="F32" s="11" t="s">
        <v>171</v>
      </c>
      <c r="G32" s="5" t="s">
        <v>37</v>
      </c>
      <c r="H32" s="5" t="s">
        <v>167</v>
      </c>
      <c r="I32" s="6"/>
      <c r="J32" s="6"/>
      <c r="K32" s="6"/>
      <c r="L32" s="6"/>
      <c r="M32" s="6"/>
      <c r="N32" s="6"/>
      <c r="O32" s="6"/>
      <c r="P32" s="6"/>
      <c r="Q32" s="6"/>
      <c r="R32" s="6"/>
      <c r="S32" s="6"/>
      <c r="T32" s="6"/>
      <c r="U32" s="6"/>
      <c r="V32" s="6"/>
      <c r="W32" s="6"/>
      <c r="X32" s="6"/>
      <c r="Y32" s="6"/>
      <c r="Z32" s="6"/>
    </row>
    <row r="33">
      <c r="A33" s="7" t="s">
        <v>172</v>
      </c>
      <c r="B33" s="5">
        <v>2025.0</v>
      </c>
      <c r="C33" s="30" t="s">
        <v>173</v>
      </c>
      <c r="D33" s="30" t="s">
        <v>174</v>
      </c>
      <c r="E33" s="5" t="s">
        <v>51</v>
      </c>
      <c r="F33" s="23" t="s">
        <v>175</v>
      </c>
      <c r="G33" s="5" t="s">
        <v>37</v>
      </c>
      <c r="H33" s="5" t="s">
        <v>167</v>
      </c>
      <c r="I33" s="6"/>
      <c r="J33" s="6"/>
      <c r="K33" s="6"/>
      <c r="L33" s="6"/>
      <c r="M33" s="6"/>
      <c r="N33" s="6"/>
      <c r="O33" s="6"/>
      <c r="P33" s="6"/>
      <c r="Q33" s="6"/>
      <c r="R33" s="6"/>
      <c r="S33" s="6"/>
      <c r="T33" s="6"/>
      <c r="U33" s="6"/>
      <c r="V33" s="6"/>
      <c r="W33" s="6"/>
      <c r="X33" s="6"/>
      <c r="Y33" s="6"/>
      <c r="Z33" s="6"/>
    </row>
    <row r="34">
      <c r="A34" s="34" t="s">
        <v>176</v>
      </c>
      <c r="B34" s="5">
        <v>2025.0</v>
      </c>
      <c r="C34" s="35" t="s">
        <v>177</v>
      </c>
      <c r="D34" s="8" t="s">
        <v>178</v>
      </c>
      <c r="E34" s="5" t="s">
        <v>41</v>
      </c>
      <c r="F34" s="36" t="s">
        <v>179</v>
      </c>
      <c r="G34" s="5" t="s">
        <v>37</v>
      </c>
      <c r="H34" s="5" t="s">
        <v>167</v>
      </c>
      <c r="I34" s="6"/>
      <c r="J34" s="6"/>
      <c r="K34" s="6"/>
      <c r="L34" s="6"/>
      <c r="M34" s="6"/>
      <c r="N34" s="6"/>
      <c r="O34" s="6"/>
      <c r="P34" s="6"/>
      <c r="Q34" s="6"/>
      <c r="R34" s="6"/>
      <c r="S34" s="6"/>
      <c r="T34" s="6"/>
      <c r="U34" s="6"/>
      <c r="V34" s="6"/>
      <c r="W34" s="6"/>
      <c r="X34" s="6"/>
      <c r="Y34" s="6"/>
      <c r="Z34" s="6"/>
    </row>
    <row r="35">
      <c r="A35" s="7" t="s">
        <v>180</v>
      </c>
      <c r="B35" s="5">
        <v>2023.0</v>
      </c>
      <c r="C35" s="37" t="s">
        <v>181</v>
      </c>
      <c r="D35" s="38" t="s">
        <v>182</v>
      </c>
      <c r="E35" s="5" t="s">
        <v>83</v>
      </c>
      <c r="F35" s="39" t="s">
        <v>183</v>
      </c>
      <c r="G35" s="5" t="s">
        <v>37</v>
      </c>
      <c r="H35" s="5" t="s">
        <v>167</v>
      </c>
      <c r="I35" s="6"/>
      <c r="J35" s="6"/>
      <c r="K35" s="6"/>
      <c r="L35" s="6"/>
      <c r="M35" s="6"/>
      <c r="N35" s="6"/>
      <c r="O35" s="6"/>
      <c r="P35" s="6"/>
      <c r="Q35" s="6"/>
      <c r="R35" s="6"/>
      <c r="S35" s="6"/>
      <c r="T35" s="6"/>
      <c r="U35" s="6"/>
      <c r="V35" s="6"/>
      <c r="W35" s="6"/>
      <c r="X35" s="6"/>
      <c r="Y35" s="6"/>
      <c r="Z35" s="6"/>
    </row>
    <row r="36">
      <c r="A36" s="40" t="s">
        <v>184</v>
      </c>
      <c r="B36" s="5">
        <v>2023.0</v>
      </c>
      <c r="C36" s="41" t="s">
        <v>185</v>
      </c>
      <c r="D36" s="41" t="s">
        <v>186</v>
      </c>
      <c r="E36" s="5" t="s">
        <v>187</v>
      </c>
      <c r="F36" s="18" t="s">
        <v>188</v>
      </c>
      <c r="G36" s="5" t="s">
        <v>37</v>
      </c>
      <c r="H36" s="5" t="s">
        <v>167</v>
      </c>
      <c r="I36" s="6"/>
      <c r="J36" s="6"/>
      <c r="K36" s="6"/>
      <c r="L36" s="6"/>
      <c r="M36" s="6"/>
      <c r="N36" s="6"/>
      <c r="O36" s="6"/>
      <c r="P36" s="6"/>
      <c r="Q36" s="6"/>
      <c r="R36" s="6"/>
      <c r="S36" s="6"/>
      <c r="T36" s="6"/>
      <c r="U36" s="6"/>
      <c r="V36" s="6"/>
      <c r="W36" s="6"/>
      <c r="X36" s="6"/>
      <c r="Y36" s="6"/>
      <c r="Z36" s="6"/>
    </row>
    <row r="37">
      <c r="A37" s="42" t="s">
        <v>189</v>
      </c>
      <c r="B37" s="5">
        <v>2025.0</v>
      </c>
      <c r="C37" s="43" t="s">
        <v>190</v>
      </c>
      <c r="D37" s="30" t="s">
        <v>191</v>
      </c>
      <c r="E37" s="5" t="s">
        <v>192</v>
      </c>
      <c r="F37" s="44" t="s">
        <v>193</v>
      </c>
      <c r="G37" s="5" t="s">
        <v>37</v>
      </c>
      <c r="H37" s="5" t="s">
        <v>167</v>
      </c>
      <c r="I37" s="6"/>
      <c r="J37" s="6"/>
      <c r="K37" s="6"/>
      <c r="L37" s="6"/>
      <c r="M37" s="6"/>
      <c r="N37" s="6"/>
      <c r="O37" s="6"/>
      <c r="P37" s="6"/>
      <c r="Q37" s="6"/>
      <c r="R37" s="6"/>
      <c r="S37" s="6"/>
      <c r="T37" s="6"/>
      <c r="U37" s="6"/>
      <c r="V37" s="6"/>
      <c r="W37" s="6"/>
      <c r="X37" s="6"/>
      <c r="Y37" s="6"/>
      <c r="Z37" s="6"/>
    </row>
    <row r="38">
      <c r="A38" s="7" t="s">
        <v>194</v>
      </c>
      <c r="B38" s="5">
        <v>2020.0</v>
      </c>
      <c r="C38" s="30" t="s">
        <v>195</v>
      </c>
      <c r="D38" s="30" t="s">
        <v>196</v>
      </c>
      <c r="E38" s="5" t="s">
        <v>51</v>
      </c>
      <c r="F38" s="45" t="s">
        <v>197</v>
      </c>
      <c r="G38" s="5" t="s">
        <v>198</v>
      </c>
      <c r="H38" s="5" t="s">
        <v>167</v>
      </c>
      <c r="I38" s="6"/>
      <c r="J38" s="6"/>
      <c r="K38" s="6"/>
      <c r="L38" s="6"/>
      <c r="M38" s="6"/>
      <c r="N38" s="6"/>
      <c r="O38" s="6"/>
      <c r="P38" s="6"/>
      <c r="Q38" s="6"/>
      <c r="R38" s="6"/>
      <c r="S38" s="6"/>
      <c r="T38" s="6"/>
      <c r="U38" s="6"/>
      <c r="V38" s="6"/>
      <c r="W38" s="6"/>
      <c r="X38" s="6"/>
      <c r="Y38" s="6"/>
      <c r="Z38" s="6"/>
    </row>
    <row r="39">
      <c r="A39" s="4" t="s">
        <v>199</v>
      </c>
      <c r="B39" s="5">
        <v>2025.0</v>
      </c>
      <c r="C39" s="30" t="s">
        <v>200</v>
      </c>
      <c r="D39" s="5" t="s">
        <v>201</v>
      </c>
      <c r="E39" s="5" t="s">
        <v>96</v>
      </c>
      <c r="F39" s="5" t="s">
        <v>202</v>
      </c>
      <c r="G39" s="5" t="s">
        <v>37</v>
      </c>
      <c r="H39" s="5" t="s">
        <v>167</v>
      </c>
      <c r="I39" s="6"/>
      <c r="J39" s="6"/>
      <c r="K39" s="6"/>
      <c r="L39" s="6"/>
      <c r="M39" s="6"/>
      <c r="N39" s="6"/>
      <c r="O39" s="6"/>
      <c r="P39" s="6"/>
      <c r="Q39" s="6"/>
      <c r="R39" s="6"/>
      <c r="S39" s="6"/>
      <c r="T39" s="6"/>
      <c r="U39" s="6"/>
      <c r="V39" s="6"/>
      <c r="W39" s="6"/>
      <c r="X39" s="6"/>
      <c r="Y39" s="6"/>
      <c r="Z39" s="6"/>
    </row>
    <row r="40">
      <c r="A40" s="7" t="s">
        <v>203</v>
      </c>
      <c r="B40" s="5">
        <v>2024.0</v>
      </c>
      <c r="C40" s="5" t="s">
        <v>204</v>
      </c>
      <c r="D40" s="30" t="s">
        <v>205</v>
      </c>
      <c r="E40" s="5" t="s">
        <v>46</v>
      </c>
      <c r="F40" s="11" t="s">
        <v>206</v>
      </c>
      <c r="G40" s="5" t="s">
        <v>31</v>
      </c>
      <c r="H40" s="5" t="s">
        <v>167</v>
      </c>
      <c r="I40" s="6"/>
      <c r="J40" s="6"/>
      <c r="K40" s="6"/>
      <c r="L40" s="6"/>
      <c r="M40" s="6"/>
      <c r="N40" s="6"/>
      <c r="O40" s="6"/>
      <c r="P40" s="6"/>
      <c r="Q40" s="6"/>
      <c r="R40" s="6"/>
      <c r="S40" s="6"/>
      <c r="T40" s="6"/>
      <c r="U40" s="6"/>
      <c r="V40" s="6"/>
      <c r="W40" s="6"/>
      <c r="X40" s="6"/>
      <c r="Y40" s="6"/>
      <c r="Z40" s="6"/>
    </row>
    <row r="41">
      <c r="A41" s="4" t="s">
        <v>207</v>
      </c>
      <c r="B41" s="5">
        <v>2024.0</v>
      </c>
      <c r="C41" s="5" t="s">
        <v>208</v>
      </c>
      <c r="D41" s="46" t="s">
        <v>209</v>
      </c>
      <c r="E41" s="5" t="s">
        <v>96</v>
      </c>
      <c r="F41" s="11" t="s">
        <v>210</v>
      </c>
      <c r="G41" s="5" t="s">
        <v>211</v>
      </c>
      <c r="H41" s="5" t="s">
        <v>167</v>
      </c>
      <c r="I41" s="6"/>
      <c r="J41" s="6"/>
      <c r="K41" s="6"/>
      <c r="L41" s="6"/>
      <c r="M41" s="6"/>
      <c r="N41" s="6"/>
      <c r="O41" s="6"/>
      <c r="P41" s="6"/>
      <c r="Q41" s="6"/>
      <c r="R41" s="6"/>
      <c r="S41" s="6"/>
      <c r="T41" s="6"/>
      <c r="U41" s="6"/>
      <c r="V41" s="6"/>
      <c r="W41" s="6"/>
      <c r="X41" s="6"/>
      <c r="Y41" s="6"/>
      <c r="Z41" s="6"/>
    </row>
    <row r="42">
      <c r="A42" s="31" t="s">
        <v>212</v>
      </c>
      <c r="B42" s="47">
        <v>2016.0</v>
      </c>
      <c r="C42" s="48" t="s">
        <v>213</v>
      </c>
      <c r="D42" s="8" t="s">
        <v>214</v>
      </c>
      <c r="E42" s="5" t="s">
        <v>215</v>
      </c>
      <c r="F42" s="49" t="s">
        <v>216</v>
      </c>
      <c r="G42" s="5" t="s">
        <v>217</v>
      </c>
      <c r="H42" s="50" t="s">
        <v>218</v>
      </c>
      <c r="I42" s="6"/>
      <c r="J42" s="6"/>
      <c r="K42" s="6"/>
      <c r="L42" s="6"/>
      <c r="M42" s="6"/>
      <c r="N42" s="6"/>
      <c r="O42" s="6"/>
      <c r="P42" s="6"/>
      <c r="Q42" s="6"/>
      <c r="R42" s="6"/>
      <c r="S42" s="6"/>
      <c r="T42" s="6"/>
      <c r="U42" s="6"/>
      <c r="V42" s="6"/>
      <c r="W42" s="6"/>
      <c r="X42" s="6"/>
      <c r="Y42" s="6"/>
      <c r="Z42" s="6"/>
    </row>
    <row r="43">
      <c r="A43" s="31" t="s">
        <v>219</v>
      </c>
      <c r="B43" s="47">
        <v>2024.0</v>
      </c>
      <c r="C43" s="48" t="s">
        <v>220</v>
      </c>
      <c r="D43" s="48" t="s">
        <v>221</v>
      </c>
      <c r="E43" s="5" t="s">
        <v>215</v>
      </c>
      <c r="F43" s="49" t="s">
        <v>222</v>
      </c>
      <c r="G43" s="5" t="s">
        <v>37</v>
      </c>
      <c r="H43" s="50" t="s">
        <v>218</v>
      </c>
      <c r="I43" s="6"/>
      <c r="J43" s="6"/>
      <c r="K43" s="6"/>
      <c r="L43" s="6"/>
      <c r="M43" s="6"/>
      <c r="N43" s="6"/>
      <c r="O43" s="6"/>
      <c r="P43" s="6"/>
      <c r="Q43" s="6"/>
      <c r="R43" s="6"/>
      <c r="S43" s="6"/>
      <c r="T43" s="6"/>
      <c r="U43" s="6"/>
      <c r="V43" s="6"/>
      <c r="W43" s="6"/>
      <c r="X43" s="6"/>
      <c r="Y43" s="6"/>
      <c r="Z43" s="6"/>
    </row>
    <row r="44">
      <c r="A44" s="31" t="s">
        <v>223</v>
      </c>
      <c r="B44" s="48">
        <v>2010.0</v>
      </c>
      <c r="C44" s="48" t="s">
        <v>224</v>
      </c>
      <c r="D44" s="48" t="s">
        <v>225</v>
      </c>
      <c r="E44" s="26" t="s">
        <v>132</v>
      </c>
      <c r="F44" s="51" t="s">
        <v>226</v>
      </c>
      <c r="G44" s="52" t="s">
        <v>37</v>
      </c>
      <c r="H44" s="50" t="s">
        <v>218</v>
      </c>
      <c r="I44" s="6"/>
      <c r="J44" s="6"/>
      <c r="K44" s="6"/>
      <c r="L44" s="6"/>
      <c r="M44" s="6"/>
      <c r="N44" s="6"/>
      <c r="O44" s="6"/>
      <c r="P44" s="6"/>
      <c r="Q44" s="6"/>
      <c r="R44" s="6"/>
      <c r="S44" s="6"/>
      <c r="T44" s="6"/>
      <c r="U44" s="6"/>
      <c r="V44" s="6"/>
      <c r="W44" s="6"/>
      <c r="X44" s="6"/>
      <c r="Y44" s="6"/>
      <c r="Z44" s="6"/>
    </row>
    <row r="45">
      <c r="A45" s="31" t="s">
        <v>227</v>
      </c>
      <c r="B45" s="47">
        <v>2014.0</v>
      </c>
      <c r="C45" s="48" t="s">
        <v>228</v>
      </c>
      <c r="D45" s="48" t="s">
        <v>229</v>
      </c>
      <c r="E45" s="5" t="s">
        <v>96</v>
      </c>
      <c r="F45" s="11" t="s">
        <v>230</v>
      </c>
      <c r="G45" s="5" t="s">
        <v>37</v>
      </c>
      <c r="H45" s="50" t="s">
        <v>218</v>
      </c>
      <c r="I45" s="6"/>
      <c r="J45" s="6"/>
      <c r="K45" s="6"/>
      <c r="L45" s="6"/>
      <c r="M45" s="6"/>
      <c r="N45" s="6"/>
      <c r="O45" s="6"/>
      <c r="P45" s="6"/>
      <c r="Q45" s="6"/>
      <c r="R45" s="6"/>
      <c r="S45" s="6"/>
      <c r="T45" s="6"/>
      <c r="U45" s="6"/>
      <c r="V45" s="6"/>
      <c r="W45" s="6"/>
      <c r="X45" s="6"/>
      <c r="Y45" s="6"/>
      <c r="Z45" s="6"/>
    </row>
    <row r="46">
      <c r="A46" s="31" t="s">
        <v>231</v>
      </c>
      <c r="B46" s="47">
        <v>2022.0</v>
      </c>
      <c r="C46" s="52" t="s">
        <v>232</v>
      </c>
      <c r="D46" s="30" t="s">
        <v>233</v>
      </c>
      <c r="E46" s="5" t="s">
        <v>51</v>
      </c>
      <c r="F46" s="18" t="s">
        <v>234</v>
      </c>
      <c r="G46" s="5" t="s">
        <v>37</v>
      </c>
      <c r="H46" s="50" t="s">
        <v>218</v>
      </c>
      <c r="I46" s="6"/>
      <c r="J46" s="6"/>
      <c r="K46" s="6"/>
      <c r="L46" s="6"/>
      <c r="M46" s="6"/>
      <c r="N46" s="6"/>
      <c r="O46" s="6"/>
      <c r="P46" s="6"/>
      <c r="Q46" s="6"/>
      <c r="R46" s="6"/>
      <c r="S46" s="6"/>
      <c r="T46" s="6"/>
      <c r="U46" s="6"/>
      <c r="V46" s="6"/>
      <c r="W46" s="6"/>
      <c r="X46" s="6"/>
      <c r="Y46" s="6"/>
      <c r="Z46" s="6"/>
    </row>
    <row r="47">
      <c r="A47" s="31" t="s">
        <v>235</v>
      </c>
      <c r="B47" s="47">
        <v>2020.0</v>
      </c>
      <c r="C47" s="53" t="s">
        <v>236</v>
      </c>
      <c r="D47" s="54" t="s">
        <v>237</v>
      </c>
      <c r="E47" s="48" t="s">
        <v>132</v>
      </c>
      <c r="F47" s="11" t="s">
        <v>238</v>
      </c>
      <c r="G47" s="5" t="s">
        <v>37</v>
      </c>
      <c r="H47" s="55" t="s">
        <v>239</v>
      </c>
      <c r="I47" s="6"/>
      <c r="J47" s="6"/>
      <c r="K47" s="6"/>
      <c r="L47" s="6"/>
      <c r="M47" s="6"/>
      <c r="N47" s="6"/>
      <c r="O47" s="6"/>
      <c r="P47" s="6"/>
      <c r="Q47" s="6"/>
      <c r="R47" s="6"/>
      <c r="S47" s="6"/>
      <c r="T47" s="6"/>
      <c r="U47" s="6"/>
      <c r="V47" s="6"/>
      <c r="W47" s="6"/>
      <c r="X47" s="6"/>
      <c r="Y47" s="6"/>
      <c r="Z47" s="6"/>
    </row>
    <row r="48">
      <c r="A48" s="31" t="s">
        <v>240</v>
      </c>
      <c r="B48" s="47">
        <v>2021.0</v>
      </c>
      <c r="C48" s="5" t="s">
        <v>241</v>
      </c>
      <c r="D48" s="8" t="s">
        <v>242</v>
      </c>
      <c r="E48" s="56" t="s">
        <v>243</v>
      </c>
      <c r="F48" s="49" t="s">
        <v>244</v>
      </c>
      <c r="G48" s="5" t="s">
        <v>37</v>
      </c>
      <c r="H48" s="55" t="s">
        <v>239</v>
      </c>
      <c r="I48" s="6"/>
      <c r="J48" s="6"/>
      <c r="K48" s="6"/>
      <c r="L48" s="6"/>
      <c r="M48" s="6"/>
      <c r="N48" s="6"/>
      <c r="O48" s="6"/>
      <c r="P48" s="6"/>
      <c r="Q48" s="6"/>
      <c r="R48" s="6"/>
      <c r="S48" s="6"/>
      <c r="T48" s="6"/>
      <c r="U48" s="6"/>
      <c r="V48" s="6"/>
      <c r="W48" s="6"/>
      <c r="X48" s="6"/>
      <c r="Y48" s="6"/>
      <c r="Z48" s="6"/>
    </row>
    <row r="49">
      <c r="A49" s="31" t="s">
        <v>245</v>
      </c>
      <c r="B49" s="47">
        <v>2021.0</v>
      </c>
      <c r="C49" s="37" t="s">
        <v>246</v>
      </c>
      <c r="D49" s="57" t="s">
        <v>247</v>
      </c>
      <c r="E49" s="48" t="s">
        <v>83</v>
      </c>
      <c r="F49" s="11" t="s">
        <v>248</v>
      </c>
      <c r="G49" s="5" t="s">
        <v>37</v>
      </c>
      <c r="H49" s="55" t="s">
        <v>239</v>
      </c>
      <c r="I49" s="6"/>
      <c r="J49" s="6"/>
      <c r="K49" s="6"/>
      <c r="L49" s="6"/>
      <c r="M49" s="6"/>
      <c r="N49" s="6"/>
      <c r="O49" s="6"/>
      <c r="P49" s="6"/>
      <c r="Q49" s="6"/>
      <c r="R49" s="6"/>
      <c r="S49" s="6"/>
      <c r="T49" s="6"/>
      <c r="U49" s="6"/>
      <c r="V49" s="6"/>
      <c r="W49" s="6"/>
      <c r="X49" s="6"/>
      <c r="Y49" s="6"/>
      <c r="Z49" s="6"/>
    </row>
    <row r="50">
      <c r="A50" s="31" t="s">
        <v>249</v>
      </c>
      <c r="B50" s="47">
        <v>2025.0</v>
      </c>
      <c r="C50" s="24" t="s">
        <v>250</v>
      </c>
      <c r="D50" s="8" t="s">
        <v>251</v>
      </c>
      <c r="E50" s="48" t="s">
        <v>252</v>
      </c>
      <c r="F50" s="11" t="s">
        <v>253</v>
      </c>
      <c r="G50" s="5" t="s">
        <v>37</v>
      </c>
      <c r="H50" s="55" t="s">
        <v>239</v>
      </c>
      <c r="I50" s="6"/>
      <c r="J50" s="6"/>
      <c r="K50" s="6"/>
      <c r="L50" s="6"/>
      <c r="M50" s="6"/>
      <c r="N50" s="6"/>
      <c r="O50" s="6"/>
      <c r="P50" s="6"/>
      <c r="Q50" s="6"/>
      <c r="R50" s="6"/>
      <c r="S50" s="6"/>
      <c r="T50" s="6"/>
      <c r="U50" s="6"/>
      <c r="V50" s="6"/>
      <c r="W50" s="6"/>
      <c r="X50" s="6"/>
      <c r="Y50" s="6"/>
      <c r="Z50" s="6"/>
    </row>
    <row r="51">
      <c r="A51" s="31" t="s">
        <v>254</v>
      </c>
      <c r="B51" s="47">
        <v>2009.0</v>
      </c>
      <c r="C51" s="41" t="s">
        <v>255</v>
      </c>
      <c r="D51" s="57" t="s">
        <v>256</v>
      </c>
      <c r="E51" s="48" t="s">
        <v>252</v>
      </c>
      <c r="F51" s="58" t="s">
        <v>257</v>
      </c>
      <c r="G51" s="5" t="s">
        <v>37</v>
      </c>
      <c r="H51" s="55" t="s">
        <v>239</v>
      </c>
      <c r="I51" s="6"/>
      <c r="J51" s="6"/>
      <c r="K51" s="6"/>
      <c r="L51" s="6"/>
      <c r="M51" s="6"/>
      <c r="N51" s="6"/>
      <c r="O51" s="6"/>
      <c r="P51" s="6"/>
      <c r="Q51" s="6"/>
      <c r="R51" s="6"/>
      <c r="S51" s="6"/>
      <c r="T51" s="6"/>
      <c r="U51" s="6"/>
      <c r="V51" s="6"/>
      <c r="W51" s="6"/>
      <c r="X51" s="6"/>
      <c r="Y51" s="6"/>
      <c r="Z51" s="6"/>
    </row>
    <row r="52">
      <c r="A52" s="31" t="s">
        <v>258</v>
      </c>
      <c r="B52" s="47">
        <v>2024.0</v>
      </c>
      <c r="C52" s="30" t="s">
        <v>259</v>
      </c>
      <c r="D52" s="5" t="s">
        <v>260</v>
      </c>
      <c r="E52" s="48" t="s">
        <v>51</v>
      </c>
      <c r="F52" s="59" t="s">
        <v>261</v>
      </c>
      <c r="G52" s="5" t="s">
        <v>37</v>
      </c>
      <c r="H52" s="55" t="s">
        <v>239</v>
      </c>
      <c r="I52" s="6"/>
      <c r="J52" s="6"/>
      <c r="K52" s="6"/>
      <c r="L52" s="6"/>
      <c r="M52" s="6"/>
      <c r="N52" s="6"/>
      <c r="O52" s="6"/>
      <c r="P52" s="6"/>
      <c r="Q52" s="6"/>
      <c r="R52" s="6"/>
      <c r="S52" s="6"/>
      <c r="T52" s="6"/>
      <c r="U52" s="6"/>
      <c r="V52" s="6"/>
      <c r="W52" s="6"/>
      <c r="X52" s="6"/>
      <c r="Y52" s="6"/>
      <c r="Z52" s="6"/>
    </row>
    <row r="53">
      <c r="A53" s="31" t="s">
        <v>262</v>
      </c>
      <c r="B53" s="47">
        <v>2024.0</v>
      </c>
      <c r="C53" s="5" t="s">
        <v>263</v>
      </c>
      <c r="D53" s="5" t="s">
        <v>264</v>
      </c>
      <c r="E53" s="48" t="s">
        <v>2</v>
      </c>
      <c r="F53" s="11" t="s">
        <v>265</v>
      </c>
      <c r="G53" s="5" t="s">
        <v>37</v>
      </c>
      <c r="H53" s="55" t="s">
        <v>239</v>
      </c>
      <c r="I53" s="6"/>
      <c r="J53" s="6"/>
      <c r="K53" s="6"/>
      <c r="L53" s="6"/>
      <c r="M53" s="6"/>
      <c r="N53" s="6"/>
      <c r="O53" s="6"/>
      <c r="P53" s="6"/>
      <c r="Q53" s="6"/>
      <c r="R53" s="6"/>
      <c r="S53" s="6"/>
      <c r="T53" s="6"/>
      <c r="U53" s="6"/>
      <c r="V53" s="6"/>
      <c r="W53" s="6"/>
      <c r="X53" s="6"/>
      <c r="Y53" s="6"/>
      <c r="Z53" s="6"/>
    </row>
    <row r="54">
      <c r="A54" s="31" t="s">
        <v>266</v>
      </c>
      <c r="B54" s="47">
        <v>2022.0</v>
      </c>
      <c r="C54" s="60" t="s">
        <v>267</v>
      </c>
      <c r="D54" s="61" t="s">
        <v>268</v>
      </c>
      <c r="E54" s="48" t="s">
        <v>2</v>
      </c>
      <c r="F54" s="11" t="s">
        <v>269</v>
      </c>
      <c r="G54" s="5" t="s">
        <v>37</v>
      </c>
      <c r="H54" s="55" t="s">
        <v>239</v>
      </c>
      <c r="I54" s="6"/>
      <c r="J54" s="6"/>
      <c r="K54" s="6"/>
      <c r="L54" s="6"/>
      <c r="M54" s="6"/>
      <c r="N54" s="6"/>
      <c r="O54" s="6"/>
      <c r="P54" s="6"/>
      <c r="Q54" s="6"/>
      <c r="R54" s="6"/>
      <c r="S54" s="6"/>
      <c r="T54" s="6"/>
      <c r="U54" s="6"/>
      <c r="V54" s="6"/>
      <c r="W54" s="6"/>
      <c r="X54" s="6"/>
      <c r="Y54" s="6"/>
      <c r="Z54" s="6"/>
    </row>
    <row r="55">
      <c r="A55" s="31" t="s">
        <v>270</v>
      </c>
      <c r="B55" s="47">
        <v>2024.0</v>
      </c>
      <c r="C55" s="5" t="s">
        <v>271</v>
      </c>
      <c r="D55" s="5" t="s">
        <v>272</v>
      </c>
      <c r="E55" s="48" t="s">
        <v>2</v>
      </c>
      <c r="F55" s="11" t="s">
        <v>273</v>
      </c>
      <c r="G55" s="5" t="s">
        <v>274</v>
      </c>
      <c r="H55" s="55" t="s">
        <v>239</v>
      </c>
      <c r="I55" s="6"/>
      <c r="J55" s="6"/>
      <c r="K55" s="6"/>
      <c r="L55" s="6"/>
      <c r="M55" s="6"/>
      <c r="N55" s="6"/>
      <c r="O55" s="6"/>
      <c r="P55" s="6"/>
      <c r="Q55" s="6"/>
      <c r="R55" s="6"/>
      <c r="S55" s="6"/>
      <c r="T55" s="6"/>
      <c r="U55" s="6"/>
      <c r="V55" s="6"/>
      <c r="W55" s="6"/>
      <c r="X55" s="6"/>
      <c r="Y55" s="6"/>
      <c r="Z55" s="6"/>
    </row>
    <row r="56">
      <c r="A56" s="62" t="s">
        <v>275</v>
      </c>
      <c r="B56" s="63">
        <v>2025.0</v>
      </c>
      <c r="C56" s="64" t="s">
        <v>276</v>
      </c>
      <c r="D56" s="64" t="s">
        <v>277</v>
      </c>
      <c r="E56" s="65" t="s">
        <v>278</v>
      </c>
      <c r="F56" s="66" t="s">
        <v>279</v>
      </c>
      <c r="G56" s="52" t="s">
        <v>280</v>
      </c>
      <c r="H56" s="64" t="s">
        <v>281</v>
      </c>
      <c r="I56" s="6"/>
      <c r="J56" s="6"/>
      <c r="K56" s="6"/>
      <c r="L56" s="6"/>
      <c r="M56" s="6"/>
      <c r="N56" s="6"/>
      <c r="O56" s="6"/>
      <c r="P56" s="6"/>
      <c r="Q56" s="6"/>
      <c r="R56" s="6"/>
      <c r="S56" s="6"/>
      <c r="T56" s="6"/>
      <c r="U56" s="6"/>
      <c r="V56" s="6"/>
      <c r="W56" s="6"/>
      <c r="X56" s="6"/>
      <c r="Y56" s="6"/>
      <c r="Z56" s="6"/>
    </row>
    <row r="57">
      <c r="A57" s="62" t="s">
        <v>282</v>
      </c>
      <c r="B57" s="63">
        <v>2025.0</v>
      </c>
      <c r="C57" s="64" t="s">
        <v>283</v>
      </c>
      <c r="D57" s="64" t="s">
        <v>284</v>
      </c>
      <c r="E57" s="65" t="s">
        <v>41</v>
      </c>
      <c r="F57" s="66" t="s">
        <v>285</v>
      </c>
      <c r="G57" s="5" t="s">
        <v>37</v>
      </c>
      <c r="H57" s="64" t="s">
        <v>281</v>
      </c>
      <c r="I57" s="6"/>
      <c r="J57" s="6"/>
      <c r="K57" s="6"/>
      <c r="L57" s="6"/>
      <c r="M57" s="6"/>
      <c r="N57" s="6"/>
      <c r="O57" s="6"/>
      <c r="P57" s="6"/>
      <c r="Q57" s="6"/>
      <c r="R57" s="6"/>
      <c r="S57" s="6"/>
      <c r="T57" s="6"/>
      <c r="U57" s="6"/>
      <c r="V57" s="6"/>
      <c r="W57" s="6"/>
      <c r="X57" s="6"/>
      <c r="Y57" s="6"/>
      <c r="Z57" s="6"/>
    </row>
    <row r="58">
      <c r="A58" s="62" t="s">
        <v>286</v>
      </c>
      <c r="B58" s="63">
        <v>2020.0</v>
      </c>
      <c r="C58" s="64" t="s">
        <v>287</v>
      </c>
      <c r="D58" s="64" t="s">
        <v>288</v>
      </c>
      <c r="E58" s="65" t="s">
        <v>83</v>
      </c>
      <c r="F58" s="66" t="s">
        <v>289</v>
      </c>
      <c r="G58" s="5" t="s">
        <v>37</v>
      </c>
      <c r="H58" s="64" t="s">
        <v>281</v>
      </c>
      <c r="I58" s="6"/>
      <c r="J58" s="6"/>
      <c r="K58" s="6"/>
      <c r="L58" s="6"/>
      <c r="M58" s="6"/>
      <c r="N58" s="6"/>
      <c r="O58" s="6"/>
      <c r="P58" s="6"/>
      <c r="Q58" s="6"/>
      <c r="R58" s="6"/>
      <c r="S58" s="6"/>
      <c r="T58" s="6"/>
      <c r="U58" s="6"/>
      <c r="V58" s="6"/>
      <c r="W58" s="6"/>
      <c r="X58" s="6"/>
      <c r="Y58" s="6"/>
      <c r="Z58" s="6"/>
    </row>
    <row r="59">
      <c r="A59" s="62" t="s">
        <v>290</v>
      </c>
      <c r="B59" s="63">
        <v>2016.0</v>
      </c>
      <c r="C59" s="64" t="s">
        <v>291</v>
      </c>
      <c r="D59" s="64" t="s">
        <v>292</v>
      </c>
      <c r="E59" s="65" t="s">
        <v>132</v>
      </c>
      <c r="F59" s="66" t="s">
        <v>293</v>
      </c>
      <c r="G59" s="5" t="s">
        <v>280</v>
      </c>
      <c r="H59" s="64" t="s">
        <v>281</v>
      </c>
      <c r="I59" s="6"/>
      <c r="J59" s="6"/>
      <c r="K59" s="6"/>
      <c r="L59" s="6"/>
      <c r="M59" s="6"/>
      <c r="N59" s="6"/>
      <c r="O59" s="6"/>
      <c r="P59" s="6"/>
      <c r="Q59" s="6"/>
      <c r="R59" s="6"/>
      <c r="S59" s="6"/>
      <c r="T59" s="6"/>
      <c r="U59" s="6"/>
      <c r="V59" s="6"/>
      <c r="W59" s="6"/>
      <c r="X59" s="6"/>
      <c r="Y59" s="6"/>
      <c r="Z59" s="6"/>
    </row>
    <row r="60">
      <c r="A60" s="62" t="s">
        <v>294</v>
      </c>
      <c r="B60" s="63">
        <v>2024.0</v>
      </c>
      <c r="C60" s="64" t="s">
        <v>295</v>
      </c>
      <c r="D60" s="64" t="s">
        <v>296</v>
      </c>
      <c r="E60" s="65" t="s">
        <v>96</v>
      </c>
      <c r="F60" s="66" t="s">
        <v>297</v>
      </c>
      <c r="G60" s="52" t="s">
        <v>37</v>
      </c>
      <c r="H60" s="64" t="s">
        <v>281</v>
      </c>
      <c r="I60" s="6"/>
      <c r="J60" s="6"/>
      <c r="K60" s="6"/>
      <c r="L60" s="6"/>
      <c r="M60" s="6"/>
      <c r="N60" s="6"/>
      <c r="O60" s="6"/>
      <c r="P60" s="6"/>
      <c r="Q60" s="6"/>
      <c r="R60" s="6"/>
      <c r="S60" s="6"/>
      <c r="T60" s="6"/>
      <c r="U60" s="6"/>
      <c r="V60" s="6"/>
      <c r="W60" s="6"/>
      <c r="X60" s="6"/>
      <c r="Y60" s="6"/>
      <c r="Z60" s="6"/>
    </row>
    <row r="61">
      <c r="A61" s="62" t="s">
        <v>298</v>
      </c>
      <c r="B61" s="63">
        <v>2025.0</v>
      </c>
      <c r="C61" s="64" t="s">
        <v>299</v>
      </c>
      <c r="D61" s="64" t="s">
        <v>300</v>
      </c>
      <c r="E61" s="65" t="s">
        <v>83</v>
      </c>
      <c r="F61" s="66" t="s">
        <v>301</v>
      </c>
      <c r="G61" s="5" t="s">
        <v>37</v>
      </c>
      <c r="H61" s="64" t="s">
        <v>281</v>
      </c>
      <c r="I61" s="6"/>
      <c r="J61" s="6"/>
      <c r="K61" s="6"/>
      <c r="L61" s="6"/>
      <c r="M61" s="6"/>
      <c r="N61" s="6"/>
      <c r="O61" s="6"/>
      <c r="P61" s="6"/>
      <c r="Q61" s="6"/>
      <c r="R61" s="6"/>
      <c r="S61" s="6"/>
      <c r="T61" s="6"/>
      <c r="U61" s="6"/>
      <c r="V61" s="6"/>
      <c r="W61" s="6"/>
      <c r="X61" s="6"/>
      <c r="Y61" s="6"/>
      <c r="Z61" s="6"/>
    </row>
    <row r="62">
      <c r="A62" s="62" t="s">
        <v>302</v>
      </c>
      <c r="B62" s="63">
        <v>2024.0</v>
      </c>
      <c r="C62" s="64" t="s">
        <v>303</v>
      </c>
      <c r="D62" s="64" t="s">
        <v>304</v>
      </c>
      <c r="E62" s="65" t="s">
        <v>278</v>
      </c>
      <c r="F62" s="67" t="s">
        <v>305</v>
      </c>
      <c r="G62" s="52" t="s">
        <v>280</v>
      </c>
      <c r="H62" s="64" t="s">
        <v>281</v>
      </c>
      <c r="I62" s="6"/>
      <c r="J62" s="6"/>
      <c r="K62" s="6"/>
      <c r="L62" s="6"/>
      <c r="M62" s="6"/>
      <c r="N62" s="6"/>
      <c r="O62" s="6"/>
      <c r="P62" s="6"/>
      <c r="Q62" s="6"/>
      <c r="R62" s="6"/>
      <c r="S62" s="6"/>
      <c r="T62" s="6"/>
      <c r="U62" s="6"/>
      <c r="V62" s="6"/>
      <c r="W62" s="6"/>
      <c r="X62" s="6"/>
      <c r="Y62" s="6"/>
      <c r="Z62" s="6"/>
    </row>
    <row r="63">
      <c r="A63" s="62" t="s">
        <v>306</v>
      </c>
      <c r="B63" s="63">
        <v>2025.0</v>
      </c>
      <c r="C63" s="64" t="s">
        <v>307</v>
      </c>
      <c r="D63" s="64" t="s">
        <v>308</v>
      </c>
      <c r="E63" s="65" t="s">
        <v>215</v>
      </c>
      <c r="F63" s="68" t="s">
        <v>309</v>
      </c>
      <c r="G63" s="52" t="s">
        <v>280</v>
      </c>
      <c r="H63" s="64" t="s">
        <v>281</v>
      </c>
      <c r="I63" s="6"/>
      <c r="J63" s="6"/>
      <c r="K63" s="6"/>
      <c r="L63" s="6"/>
      <c r="M63" s="6"/>
      <c r="N63" s="6"/>
      <c r="O63" s="6"/>
      <c r="P63" s="6"/>
      <c r="Q63" s="6"/>
      <c r="R63" s="6"/>
      <c r="S63" s="6"/>
      <c r="T63" s="6"/>
      <c r="U63" s="6"/>
      <c r="V63" s="6"/>
      <c r="W63" s="6"/>
      <c r="X63" s="6"/>
      <c r="Y63" s="6"/>
      <c r="Z63" s="6"/>
    </row>
    <row r="64">
      <c r="A64" s="62" t="s">
        <v>310</v>
      </c>
      <c r="B64" s="63">
        <v>2022.0</v>
      </c>
      <c r="C64" s="64" t="s">
        <v>311</v>
      </c>
      <c r="D64" s="64" t="s">
        <v>312</v>
      </c>
      <c r="E64" s="65" t="s">
        <v>2</v>
      </c>
      <c r="F64" s="64" t="s">
        <v>313</v>
      </c>
      <c r="G64" s="5" t="s">
        <v>314</v>
      </c>
      <c r="H64" s="64" t="s">
        <v>281</v>
      </c>
      <c r="I64" s="6"/>
      <c r="J64" s="6"/>
      <c r="K64" s="6"/>
      <c r="L64" s="6"/>
      <c r="M64" s="6"/>
      <c r="N64" s="6"/>
      <c r="O64" s="6"/>
      <c r="P64" s="6"/>
      <c r="Q64" s="6"/>
      <c r="R64" s="6"/>
      <c r="S64" s="6"/>
      <c r="T64" s="6"/>
      <c r="U64" s="6"/>
      <c r="V64" s="6"/>
      <c r="W64" s="6"/>
      <c r="X64" s="6"/>
      <c r="Y64" s="6"/>
      <c r="Z64" s="6"/>
    </row>
    <row r="65">
      <c r="A65" s="62" t="s">
        <v>315</v>
      </c>
      <c r="B65" s="63">
        <v>2025.0</v>
      </c>
      <c r="C65" s="64" t="s">
        <v>316</v>
      </c>
      <c r="D65" s="64" t="s">
        <v>317</v>
      </c>
      <c r="E65" s="65" t="s">
        <v>115</v>
      </c>
      <c r="F65" s="66" t="s">
        <v>318</v>
      </c>
      <c r="G65" s="5" t="s">
        <v>37</v>
      </c>
      <c r="H65" s="64" t="s">
        <v>281</v>
      </c>
      <c r="I65" s="6"/>
      <c r="J65" s="6"/>
      <c r="K65" s="6"/>
      <c r="L65" s="6"/>
      <c r="M65" s="6"/>
      <c r="N65" s="6"/>
      <c r="O65" s="6"/>
      <c r="P65" s="6"/>
      <c r="Q65" s="6"/>
      <c r="R65" s="6"/>
      <c r="S65" s="6"/>
      <c r="T65" s="6"/>
      <c r="U65" s="6"/>
      <c r="V65" s="6"/>
      <c r="W65" s="6"/>
      <c r="X65" s="6"/>
      <c r="Y65" s="6"/>
      <c r="Z65" s="6"/>
    </row>
    <row r="66">
      <c r="A66" s="69" t="s">
        <v>319</v>
      </c>
      <c r="B66" s="70">
        <v>2025.0</v>
      </c>
      <c r="C66" s="71" t="s">
        <v>320</v>
      </c>
      <c r="D66" s="71" t="s">
        <v>321</v>
      </c>
      <c r="E66" s="52" t="s">
        <v>51</v>
      </c>
      <c r="F66" s="72" t="s">
        <v>322</v>
      </c>
      <c r="G66" s="52" t="s">
        <v>198</v>
      </c>
      <c r="H66" s="56" t="s">
        <v>323</v>
      </c>
      <c r="I66" s="6"/>
      <c r="J66" s="6"/>
      <c r="K66" s="6"/>
      <c r="L66" s="6"/>
      <c r="M66" s="6"/>
      <c r="N66" s="6"/>
      <c r="O66" s="6"/>
      <c r="P66" s="6"/>
      <c r="Q66" s="6"/>
      <c r="R66" s="6"/>
      <c r="S66" s="6"/>
      <c r="T66" s="6"/>
      <c r="U66" s="6"/>
      <c r="V66" s="6"/>
      <c r="W66" s="6"/>
      <c r="X66" s="6"/>
      <c r="Y66" s="6"/>
      <c r="Z66" s="6"/>
    </row>
    <row r="67">
      <c r="A67" s="69" t="s">
        <v>324</v>
      </c>
      <c r="B67" s="70">
        <v>2023.0</v>
      </c>
      <c r="C67" s="71" t="s">
        <v>325</v>
      </c>
      <c r="D67" s="70" t="s">
        <v>326</v>
      </c>
      <c r="E67" s="52" t="s">
        <v>215</v>
      </c>
      <c r="F67" s="73" t="s">
        <v>327</v>
      </c>
      <c r="G67" s="52" t="s">
        <v>274</v>
      </c>
      <c r="H67" s="56" t="s">
        <v>323</v>
      </c>
      <c r="I67" s="6"/>
      <c r="J67" s="6"/>
      <c r="K67" s="6"/>
      <c r="L67" s="6"/>
      <c r="M67" s="6"/>
      <c r="N67" s="6"/>
      <c r="O67" s="6"/>
      <c r="P67" s="6"/>
      <c r="Q67" s="6"/>
      <c r="R67" s="6"/>
      <c r="S67" s="6"/>
      <c r="T67" s="6"/>
      <c r="U67" s="6"/>
      <c r="V67" s="6"/>
      <c r="W67" s="6"/>
      <c r="X67" s="6"/>
      <c r="Y67" s="6"/>
      <c r="Z67" s="6"/>
    </row>
    <row r="68">
      <c r="A68" s="69" t="s">
        <v>328</v>
      </c>
      <c r="B68" s="70">
        <v>2025.0</v>
      </c>
      <c r="C68" s="74" t="s">
        <v>329</v>
      </c>
      <c r="D68" s="52" t="s">
        <v>330</v>
      </c>
      <c r="E68" s="52" t="s">
        <v>215</v>
      </c>
      <c r="F68" s="73" t="s">
        <v>331</v>
      </c>
      <c r="G68" s="52" t="s">
        <v>198</v>
      </c>
      <c r="H68" s="56" t="s">
        <v>323</v>
      </c>
      <c r="I68" s="6"/>
      <c r="J68" s="6"/>
      <c r="K68" s="6"/>
      <c r="L68" s="6"/>
      <c r="M68" s="6"/>
      <c r="N68" s="6"/>
      <c r="O68" s="6"/>
      <c r="P68" s="6"/>
      <c r="Q68" s="6"/>
      <c r="R68" s="6"/>
      <c r="S68" s="6"/>
      <c r="T68" s="6"/>
      <c r="U68" s="6"/>
      <c r="V68" s="6"/>
      <c r="W68" s="6"/>
      <c r="X68" s="6"/>
      <c r="Y68" s="6"/>
      <c r="Z68" s="6"/>
    </row>
    <row r="69">
      <c r="A69" s="69" t="s">
        <v>332</v>
      </c>
      <c r="B69" s="70">
        <v>2024.0</v>
      </c>
      <c r="C69" s="52" t="s">
        <v>333</v>
      </c>
      <c r="D69" s="52" t="s">
        <v>334</v>
      </c>
      <c r="E69" s="52" t="s">
        <v>335</v>
      </c>
      <c r="F69" s="72" t="s">
        <v>336</v>
      </c>
      <c r="G69" s="52" t="s">
        <v>337</v>
      </c>
      <c r="H69" s="56" t="s">
        <v>323</v>
      </c>
      <c r="I69" s="6"/>
      <c r="J69" s="6"/>
      <c r="K69" s="6"/>
      <c r="L69" s="6"/>
      <c r="M69" s="6"/>
      <c r="N69" s="6"/>
      <c r="O69" s="6"/>
      <c r="P69" s="6"/>
      <c r="Q69" s="6"/>
      <c r="R69" s="6"/>
      <c r="S69" s="6"/>
      <c r="T69" s="6"/>
      <c r="U69" s="6"/>
      <c r="V69" s="6"/>
      <c r="W69" s="6"/>
      <c r="X69" s="6"/>
      <c r="Y69" s="6"/>
      <c r="Z69" s="6"/>
    </row>
    <row r="70">
      <c r="A70" s="69" t="s">
        <v>338</v>
      </c>
      <c r="B70" s="70">
        <v>2025.0</v>
      </c>
      <c r="C70" s="75" t="s">
        <v>339</v>
      </c>
      <c r="D70" s="75" t="s">
        <v>340</v>
      </c>
      <c r="E70" s="52" t="s">
        <v>41</v>
      </c>
      <c r="F70" s="72" t="s">
        <v>341</v>
      </c>
      <c r="G70" s="52" t="s">
        <v>198</v>
      </c>
      <c r="H70" s="56" t="s">
        <v>342</v>
      </c>
      <c r="I70" s="6"/>
      <c r="J70" s="6"/>
      <c r="K70" s="6"/>
      <c r="L70" s="6"/>
      <c r="M70" s="6"/>
      <c r="N70" s="6"/>
      <c r="O70" s="6"/>
      <c r="P70" s="6"/>
      <c r="Q70" s="6"/>
      <c r="R70" s="6"/>
      <c r="S70" s="6"/>
      <c r="T70" s="6"/>
      <c r="U70" s="6"/>
      <c r="V70" s="6"/>
      <c r="W70" s="6"/>
      <c r="X70" s="6"/>
      <c r="Y70" s="6"/>
      <c r="Z70" s="6"/>
    </row>
    <row r="71">
      <c r="A71" s="69" t="s">
        <v>343</v>
      </c>
      <c r="B71" s="70">
        <v>2022.0</v>
      </c>
      <c r="C71" s="70" t="s">
        <v>344</v>
      </c>
      <c r="D71" s="70" t="s">
        <v>345</v>
      </c>
      <c r="E71" s="52" t="s">
        <v>215</v>
      </c>
      <c r="F71" s="73" t="s">
        <v>346</v>
      </c>
      <c r="G71" s="52" t="s">
        <v>198</v>
      </c>
      <c r="H71" s="56" t="s">
        <v>342</v>
      </c>
      <c r="I71" s="6"/>
      <c r="J71" s="6"/>
      <c r="K71" s="6"/>
      <c r="L71" s="6"/>
      <c r="M71" s="6"/>
      <c r="N71" s="6"/>
      <c r="O71" s="6"/>
      <c r="P71" s="6"/>
      <c r="Q71" s="6"/>
      <c r="R71" s="6"/>
      <c r="S71" s="6"/>
      <c r="T71" s="6"/>
      <c r="U71" s="6"/>
      <c r="V71" s="6"/>
      <c r="W71" s="6"/>
      <c r="X71" s="6"/>
      <c r="Y71" s="6"/>
      <c r="Z71" s="6"/>
    </row>
    <row r="72">
      <c r="A72" s="69" t="s">
        <v>347</v>
      </c>
      <c r="B72" s="70">
        <v>2022.0</v>
      </c>
      <c r="C72" s="70" t="s">
        <v>348</v>
      </c>
      <c r="D72" s="70" t="s">
        <v>349</v>
      </c>
      <c r="E72" s="52" t="s">
        <v>215</v>
      </c>
      <c r="F72" s="73" t="s">
        <v>350</v>
      </c>
      <c r="G72" s="52" t="s">
        <v>198</v>
      </c>
      <c r="H72" s="56" t="s">
        <v>342</v>
      </c>
      <c r="I72" s="6"/>
      <c r="J72" s="6"/>
      <c r="K72" s="6"/>
      <c r="L72" s="6"/>
      <c r="M72" s="6"/>
      <c r="N72" s="6"/>
      <c r="O72" s="6"/>
      <c r="P72" s="6"/>
      <c r="Q72" s="6"/>
      <c r="R72" s="6"/>
      <c r="S72" s="6"/>
      <c r="T72" s="6"/>
      <c r="U72" s="6"/>
      <c r="V72" s="6"/>
      <c r="W72" s="6"/>
      <c r="X72" s="6"/>
      <c r="Y72" s="6"/>
      <c r="Z72" s="6"/>
    </row>
    <row r="73">
      <c r="A73" s="69" t="s">
        <v>351</v>
      </c>
      <c r="B73" s="47">
        <v>2024.0</v>
      </c>
      <c r="C73" s="48" t="s">
        <v>352</v>
      </c>
      <c r="D73" s="56" t="s">
        <v>353</v>
      </c>
      <c r="E73" s="26" t="s">
        <v>132</v>
      </c>
      <c r="F73" s="76" t="s">
        <v>354</v>
      </c>
      <c r="G73" s="52" t="s">
        <v>198</v>
      </c>
      <c r="H73" s="64" t="s">
        <v>355</v>
      </c>
      <c r="I73" s="77"/>
      <c r="J73" s="6"/>
      <c r="K73" s="6"/>
      <c r="L73" s="6"/>
      <c r="M73" s="6"/>
      <c r="N73" s="6"/>
      <c r="O73" s="6"/>
      <c r="P73" s="6"/>
      <c r="Q73" s="6"/>
      <c r="R73" s="6"/>
      <c r="S73" s="6"/>
      <c r="T73" s="6"/>
      <c r="U73" s="6"/>
      <c r="V73" s="6"/>
      <c r="W73" s="6"/>
      <c r="X73" s="6"/>
      <c r="Y73" s="6"/>
      <c r="Z73" s="6"/>
    </row>
    <row r="74">
      <c r="A74" s="69" t="s">
        <v>356</v>
      </c>
      <c r="B74" s="47">
        <v>2014.0</v>
      </c>
      <c r="C74" s="56" t="s">
        <v>357</v>
      </c>
      <c r="D74" s="56" t="s">
        <v>358</v>
      </c>
      <c r="E74" s="38" t="s">
        <v>359</v>
      </c>
      <c r="F74" s="78" t="s">
        <v>360</v>
      </c>
      <c r="G74" s="52" t="s">
        <v>337</v>
      </c>
      <c r="H74" s="64" t="s">
        <v>355</v>
      </c>
      <c r="I74" s="77"/>
      <c r="J74" s="6"/>
      <c r="K74" s="6"/>
      <c r="L74" s="6"/>
      <c r="M74" s="6"/>
      <c r="N74" s="6"/>
      <c r="O74" s="6"/>
      <c r="P74" s="6"/>
      <c r="Q74" s="6"/>
      <c r="R74" s="6"/>
      <c r="S74" s="6"/>
      <c r="T74" s="6"/>
      <c r="U74" s="6"/>
      <c r="V74" s="6"/>
      <c r="W74" s="6"/>
      <c r="X74" s="6"/>
      <c r="Y74" s="6"/>
      <c r="Z74" s="6"/>
    </row>
    <row r="75">
      <c r="A75" s="69" t="s">
        <v>361</v>
      </c>
      <c r="B75" s="47">
        <v>2023.0</v>
      </c>
      <c r="C75" s="56" t="s">
        <v>362</v>
      </c>
      <c r="D75" s="56" t="s">
        <v>363</v>
      </c>
      <c r="E75" s="52" t="s">
        <v>2</v>
      </c>
      <c r="F75" s="78" t="s">
        <v>364</v>
      </c>
      <c r="G75" s="52" t="s">
        <v>198</v>
      </c>
      <c r="H75" s="64" t="s">
        <v>355</v>
      </c>
      <c r="I75" s="77"/>
      <c r="J75" s="6"/>
      <c r="K75" s="6"/>
      <c r="L75" s="6"/>
      <c r="M75" s="6"/>
      <c r="N75" s="6"/>
      <c r="O75" s="6"/>
      <c r="P75" s="6"/>
      <c r="Q75" s="6"/>
      <c r="R75" s="6"/>
      <c r="S75" s="6"/>
      <c r="T75" s="6"/>
      <c r="U75" s="6"/>
      <c r="V75" s="6"/>
      <c r="W75" s="6"/>
      <c r="X75" s="6"/>
      <c r="Y75" s="6"/>
      <c r="Z75" s="6"/>
    </row>
    <row r="76">
      <c r="A76" s="69" t="s">
        <v>365</v>
      </c>
      <c r="B76" s="47">
        <v>2024.0</v>
      </c>
      <c r="C76" s="56" t="s">
        <v>366</v>
      </c>
      <c r="D76" s="56" t="s">
        <v>367</v>
      </c>
      <c r="E76" s="52" t="s">
        <v>2</v>
      </c>
      <c r="F76" s="78" t="s">
        <v>368</v>
      </c>
      <c r="G76" s="52" t="s">
        <v>198</v>
      </c>
      <c r="H76" s="64" t="s">
        <v>355</v>
      </c>
      <c r="I76" s="77"/>
      <c r="J76" s="6"/>
      <c r="K76" s="6"/>
      <c r="L76" s="6"/>
      <c r="M76" s="6"/>
      <c r="N76" s="6"/>
      <c r="O76" s="6"/>
      <c r="P76" s="6"/>
      <c r="Q76" s="6"/>
      <c r="R76" s="6"/>
      <c r="S76" s="6"/>
      <c r="T76" s="6"/>
      <c r="U76" s="6"/>
      <c r="V76" s="6"/>
      <c r="W76" s="6"/>
      <c r="X76" s="6"/>
      <c r="Y76" s="6"/>
      <c r="Z76" s="6"/>
    </row>
    <row r="77">
      <c r="A77" s="69" t="s">
        <v>369</v>
      </c>
      <c r="B77" s="47">
        <v>2024.0</v>
      </c>
      <c r="C77" s="56" t="s">
        <v>370</v>
      </c>
      <c r="D77" s="56" t="s">
        <v>371</v>
      </c>
      <c r="E77" s="52" t="s">
        <v>51</v>
      </c>
      <c r="F77" s="78" t="s">
        <v>372</v>
      </c>
      <c r="G77" s="52" t="s">
        <v>198</v>
      </c>
      <c r="H77" s="64" t="s">
        <v>355</v>
      </c>
      <c r="I77" s="77"/>
      <c r="J77" s="6"/>
      <c r="K77" s="6"/>
      <c r="L77" s="6"/>
      <c r="M77" s="6"/>
      <c r="N77" s="6"/>
      <c r="O77" s="6"/>
      <c r="P77" s="6"/>
      <c r="Q77" s="6"/>
      <c r="R77" s="6"/>
      <c r="S77" s="6"/>
      <c r="T77" s="6"/>
      <c r="U77" s="6"/>
      <c r="V77" s="6"/>
      <c r="W77" s="6"/>
      <c r="X77" s="6"/>
      <c r="Y77" s="6"/>
      <c r="Z77" s="6"/>
    </row>
    <row r="78">
      <c r="A78" s="69" t="s">
        <v>373</v>
      </c>
      <c r="B78" s="47">
        <v>2024.0</v>
      </c>
      <c r="C78" s="56" t="s">
        <v>374</v>
      </c>
      <c r="D78" s="56" t="s">
        <v>375</v>
      </c>
      <c r="E78" s="52" t="s">
        <v>46</v>
      </c>
      <c r="F78" s="78" t="s">
        <v>376</v>
      </c>
      <c r="G78" s="52" t="s">
        <v>337</v>
      </c>
      <c r="H78" s="64" t="s">
        <v>355</v>
      </c>
      <c r="I78" s="77"/>
      <c r="J78" s="6"/>
      <c r="K78" s="6"/>
      <c r="L78" s="6"/>
      <c r="M78" s="6"/>
      <c r="N78" s="6"/>
      <c r="O78" s="6"/>
      <c r="P78" s="6"/>
      <c r="Q78" s="6"/>
      <c r="R78" s="6"/>
      <c r="S78" s="6"/>
      <c r="T78" s="6"/>
      <c r="U78" s="6"/>
      <c r="V78" s="6"/>
      <c r="W78" s="6"/>
      <c r="X78" s="6"/>
      <c r="Y78" s="6"/>
      <c r="Z78" s="6"/>
    </row>
    <row r="79">
      <c r="A79" s="69" t="s">
        <v>377</v>
      </c>
      <c r="B79" s="47">
        <v>2022.0</v>
      </c>
      <c r="C79" s="56" t="s">
        <v>378</v>
      </c>
      <c r="D79" s="56" t="s">
        <v>379</v>
      </c>
      <c r="E79" s="52" t="s">
        <v>41</v>
      </c>
      <c r="F79" s="78" t="s">
        <v>380</v>
      </c>
      <c r="G79" s="52" t="s">
        <v>198</v>
      </c>
      <c r="H79" s="64" t="s">
        <v>355</v>
      </c>
      <c r="I79" s="77"/>
      <c r="J79" s="6"/>
      <c r="K79" s="6"/>
      <c r="L79" s="6"/>
      <c r="M79" s="6"/>
      <c r="N79" s="6"/>
      <c r="O79" s="6"/>
      <c r="P79" s="6"/>
      <c r="Q79" s="6"/>
      <c r="R79" s="6"/>
      <c r="S79" s="6"/>
      <c r="T79" s="6"/>
      <c r="U79" s="6"/>
      <c r="V79" s="6"/>
      <c r="W79" s="6"/>
      <c r="X79" s="6"/>
      <c r="Y79" s="6"/>
      <c r="Z79" s="6"/>
    </row>
    <row r="80">
      <c r="A80" s="69" t="s">
        <v>381</v>
      </c>
      <c r="B80" s="47">
        <v>2024.0</v>
      </c>
      <c r="C80" s="56" t="s">
        <v>382</v>
      </c>
      <c r="D80" s="56" t="s">
        <v>383</v>
      </c>
      <c r="E80" s="52" t="s">
        <v>384</v>
      </c>
      <c r="F80" s="78" t="s">
        <v>385</v>
      </c>
      <c r="G80" s="52" t="s">
        <v>198</v>
      </c>
      <c r="H80" s="64" t="s">
        <v>355</v>
      </c>
      <c r="I80" s="77"/>
      <c r="J80" s="6"/>
      <c r="K80" s="6"/>
      <c r="L80" s="6"/>
      <c r="M80" s="6"/>
      <c r="N80" s="6"/>
      <c r="O80" s="6"/>
      <c r="P80" s="6"/>
      <c r="Q80" s="6"/>
      <c r="R80" s="6"/>
      <c r="S80" s="6"/>
      <c r="T80" s="6"/>
      <c r="U80" s="6"/>
      <c r="V80" s="6"/>
      <c r="W80" s="6"/>
      <c r="X80" s="6"/>
      <c r="Y80" s="6"/>
      <c r="Z80" s="6"/>
    </row>
    <row r="81">
      <c r="A81" s="69" t="s">
        <v>386</v>
      </c>
      <c r="B81" s="47">
        <v>2025.0</v>
      </c>
      <c r="C81" s="56" t="s">
        <v>387</v>
      </c>
      <c r="D81" s="56" t="s">
        <v>388</v>
      </c>
      <c r="E81" s="52" t="s">
        <v>215</v>
      </c>
      <c r="F81" s="78" t="s">
        <v>389</v>
      </c>
      <c r="G81" s="52" t="s">
        <v>274</v>
      </c>
      <c r="H81" s="64" t="s">
        <v>355</v>
      </c>
      <c r="I81" s="77"/>
      <c r="J81" s="6"/>
      <c r="K81" s="6"/>
      <c r="L81" s="6"/>
      <c r="M81" s="6"/>
      <c r="N81" s="6"/>
      <c r="O81" s="6"/>
      <c r="P81" s="6"/>
      <c r="Q81" s="6"/>
      <c r="R81" s="6"/>
      <c r="S81" s="6"/>
      <c r="T81" s="6"/>
      <c r="U81" s="6"/>
      <c r="V81" s="6"/>
      <c r="W81" s="6"/>
      <c r="X81" s="6"/>
      <c r="Y81" s="6"/>
      <c r="Z81" s="6"/>
    </row>
    <row r="82">
      <c r="A82" s="69" t="s">
        <v>390</v>
      </c>
      <c r="B82" s="47">
        <v>2023.0</v>
      </c>
      <c r="C82" s="56" t="s">
        <v>391</v>
      </c>
      <c r="D82" s="56" t="s">
        <v>392</v>
      </c>
      <c r="E82" s="52" t="s">
        <v>393</v>
      </c>
      <c r="F82" s="78" t="s">
        <v>394</v>
      </c>
      <c r="G82" s="52" t="s">
        <v>198</v>
      </c>
      <c r="H82" s="64" t="s">
        <v>395</v>
      </c>
      <c r="I82" s="77"/>
      <c r="J82" s="6"/>
      <c r="K82" s="6"/>
      <c r="L82" s="6"/>
      <c r="M82" s="6"/>
      <c r="N82" s="6"/>
      <c r="O82" s="6"/>
      <c r="P82" s="6"/>
      <c r="Q82" s="6"/>
      <c r="R82" s="6"/>
      <c r="S82" s="6"/>
      <c r="T82" s="6"/>
      <c r="U82" s="6"/>
      <c r="V82" s="6"/>
      <c r="W82" s="6"/>
      <c r="X82" s="6"/>
      <c r="Y82" s="6"/>
      <c r="Z82" s="6"/>
    </row>
    <row r="83">
      <c r="A83" s="69" t="s">
        <v>396</v>
      </c>
      <c r="B83" s="47">
        <v>2021.0</v>
      </c>
      <c r="C83" s="56" t="s">
        <v>397</v>
      </c>
      <c r="D83" s="56" t="s">
        <v>398</v>
      </c>
      <c r="E83" s="52" t="s">
        <v>399</v>
      </c>
      <c r="F83" s="78" t="s">
        <v>400</v>
      </c>
      <c r="G83" s="52" t="s">
        <v>337</v>
      </c>
      <c r="H83" s="64" t="s">
        <v>395</v>
      </c>
      <c r="I83" s="77"/>
      <c r="J83" s="6"/>
      <c r="K83" s="6"/>
      <c r="L83" s="6"/>
      <c r="M83" s="6"/>
      <c r="N83" s="6"/>
      <c r="O83" s="6"/>
      <c r="P83" s="6"/>
      <c r="Q83" s="6"/>
      <c r="R83" s="6"/>
      <c r="S83" s="6"/>
      <c r="T83" s="6"/>
      <c r="U83" s="6"/>
      <c r="V83" s="6"/>
      <c r="W83" s="6"/>
      <c r="X83" s="6"/>
      <c r="Y83" s="6"/>
      <c r="Z83" s="6"/>
    </row>
    <row r="84">
      <c r="A84" s="69" t="s">
        <v>401</v>
      </c>
      <c r="B84" s="47">
        <v>2023.0</v>
      </c>
      <c r="C84" s="56" t="s">
        <v>402</v>
      </c>
      <c r="D84" s="56" t="s">
        <v>403</v>
      </c>
      <c r="E84" s="52" t="s">
        <v>393</v>
      </c>
      <c r="F84" s="78" t="s">
        <v>404</v>
      </c>
      <c r="G84" s="52" t="s">
        <v>198</v>
      </c>
      <c r="H84" s="64" t="s">
        <v>395</v>
      </c>
      <c r="I84" s="77"/>
      <c r="J84" s="6"/>
      <c r="K84" s="6"/>
      <c r="L84" s="6"/>
      <c r="M84" s="6"/>
      <c r="N84" s="6"/>
      <c r="O84" s="6"/>
      <c r="P84" s="6"/>
      <c r="Q84" s="6"/>
      <c r="R84" s="6"/>
      <c r="S84" s="6"/>
      <c r="T84" s="6"/>
      <c r="U84" s="6"/>
      <c r="V84" s="6"/>
      <c r="W84" s="6"/>
      <c r="X84" s="6"/>
      <c r="Y84" s="6"/>
      <c r="Z84" s="6"/>
    </row>
    <row r="85">
      <c r="A85" s="69" t="s">
        <v>405</v>
      </c>
      <c r="B85" s="47">
        <v>2024.0</v>
      </c>
      <c r="C85" s="56" t="s">
        <v>406</v>
      </c>
      <c r="D85" s="56" t="s">
        <v>407</v>
      </c>
      <c r="E85" s="26" t="s">
        <v>132</v>
      </c>
      <c r="F85" s="78" t="s">
        <v>408</v>
      </c>
      <c r="G85" s="52" t="s">
        <v>198</v>
      </c>
      <c r="H85" s="64" t="s">
        <v>395</v>
      </c>
      <c r="I85" s="77"/>
      <c r="J85" s="6"/>
      <c r="K85" s="6"/>
      <c r="L85" s="6"/>
      <c r="M85" s="6"/>
      <c r="N85" s="6"/>
      <c r="O85" s="6"/>
      <c r="P85" s="6"/>
      <c r="Q85" s="6"/>
      <c r="R85" s="6"/>
      <c r="S85" s="6"/>
      <c r="T85" s="6"/>
      <c r="U85" s="6"/>
      <c r="V85" s="6"/>
      <c r="W85" s="6"/>
      <c r="X85" s="6"/>
      <c r="Y85" s="6"/>
      <c r="Z85" s="6"/>
    </row>
    <row r="86">
      <c r="A86" s="69" t="s">
        <v>409</v>
      </c>
      <c r="B86" s="47">
        <v>2024.0</v>
      </c>
      <c r="C86" s="56" t="s">
        <v>410</v>
      </c>
      <c r="D86" s="56" t="s">
        <v>411</v>
      </c>
      <c r="E86" s="52" t="s">
        <v>83</v>
      </c>
      <c r="F86" s="78" t="s">
        <v>412</v>
      </c>
      <c r="G86" s="52" t="s">
        <v>198</v>
      </c>
      <c r="H86" s="64" t="s">
        <v>395</v>
      </c>
      <c r="I86" s="77"/>
      <c r="J86" s="6"/>
      <c r="K86" s="6"/>
      <c r="L86" s="6"/>
      <c r="M86" s="6"/>
      <c r="N86" s="6"/>
      <c r="O86" s="6"/>
      <c r="P86" s="6"/>
      <c r="Q86" s="6"/>
      <c r="R86" s="6"/>
      <c r="S86" s="6"/>
      <c r="T86" s="6"/>
      <c r="U86" s="6"/>
      <c r="V86" s="6"/>
      <c r="W86" s="6"/>
      <c r="X86" s="6"/>
      <c r="Y86" s="6"/>
      <c r="Z86" s="6"/>
    </row>
    <row r="87">
      <c r="A87" s="69" t="s">
        <v>413</v>
      </c>
      <c r="B87" s="47">
        <v>2021.0</v>
      </c>
      <c r="C87" s="56" t="s">
        <v>414</v>
      </c>
      <c r="D87" s="56" t="s">
        <v>415</v>
      </c>
      <c r="E87" s="52" t="s">
        <v>2</v>
      </c>
      <c r="F87" s="78" t="s">
        <v>416</v>
      </c>
      <c r="G87" s="52" t="s">
        <v>417</v>
      </c>
      <c r="H87" s="64" t="s">
        <v>395</v>
      </c>
      <c r="I87" s="77"/>
      <c r="J87" s="6"/>
      <c r="K87" s="6"/>
      <c r="L87" s="6"/>
      <c r="M87" s="6"/>
      <c r="N87" s="6"/>
      <c r="O87" s="6"/>
      <c r="P87" s="6"/>
      <c r="Q87" s="6"/>
      <c r="R87" s="6"/>
      <c r="S87" s="6"/>
      <c r="T87" s="6"/>
      <c r="U87" s="6"/>
      <c r="V87" s="6"/>
      <c r="W87" s="6"/>
      <c r="X87" s="6"/>
      <c r="Y87" s="6"/>
      <c r="Z87" s="6"/>
    </row>
    <row r="88">
      <c r="A88" s="69" t="s">
        <v>418</v>
      </c>
      <c r="B88" s="47">
        <v>2025.0</v>
      </c>
      <c r="C88" s="56" t="s">
        <v>419</v>
      </c>
      <c r="D88" s="56" t="s">
        <v>420</v>
      </c>
      <c r="E88" s="26" t="s">
        <v>132</v>
      </c>
      <c r="F88" s="78" t="s">
        <v>421</v>
      </c>
      <c r="G88" s="52" t="s">
        <v>198</v>
      </c>
      <c r="H88" s="64" t="s">
        <v>395</v>
      </c>
      <c r="I88" s="77"/>
      <c r="J88" s="6"/>
      <c r="K88" s="6"/>
      <c r="L88" s="6"/>
      <c r="M88" s="6"/>
      <c r="N88" s="6"/>
      <c r="O88" s="6"/>
      <c r="P88" s="6"/>
      <c r="Q88" s="6"/>
      <c r="R88" s="6"/>
      <c r="S88" s="6"/>
      <c r="T88" s="6"/>
      <c r="U88" s="6"/>
      <c r="V88" s="6"/>
      <c r="W88" s="6"/>
      <c r="X88" s="6"/>
      <c r="Y88" s="6"/>
      <c r="Z88" s="6"/>
    </row>
    <row r="89" ht="15.75" customHeight="1">
      <c r="A89" s="79" t="s">
        <v>422</v>
      </c>
      <c r="B89" s="47">
        <v>2023.0</v>
      </c>
      <c r="C89" s="56" t="s">
        <v>423</v>
      </c>
      <c r="D89" s="48" t="s">
        <v>424</v>
      </c>
      <c r="E89" s="52" t="s">
        <v>2</v>
      </c>
      <c r="F89" s="78" t="s">
        <v>425</v>
      </c>
      <c r="G89" s="52" t="s">
        <v>417</v>
      </c>
      <c r="H89" s="64" t="s">
        <v>395</v>
      </c>
      <c r="I89" s="77"/>
      <c r="J89" s="6"/>
      <c r="K89" s="6"/>
      <c r="L89" s="6"/>
      <c r="M89" s="6"/>
      <c r="N89" s="6"/>
      <c r="O89" s="6"/>
      <c r="P89" s="6"/>
      <c r="Q89" s="6"/>
      <c r="R89" s="6"/>
      <c r="S89" s="6"/>
      <c r="T89" s="6"/>
      <c r="U89" s="6"/>
      <c r="V89" s="6"/>
      <c r="W89" s="6"/>
      <c r="X89" s="6"/>
      <c r="Y89" s="6"/>
      <c r="Z89" s="6"/>
    </row>
    <row r="90">
      <c r="A90" s="69" t="s">
        <v>426</v>
      </c>
      <c r="B90" s="47">
        <v>2024.0</v>
      </c>
      <c r="C90" s="56" t="s">
        <v>427</v>
      </c>
      <c r="D90" s="56" t="s">
        <v>428</v>
      </c>
      <c r="E90" s="52" t="s">
        <v>41</v>
      </c>
      <c r="F90" s="78" t="s">
        <v>429</v>
      </c>
      <c r="G90" s="52" t="s">
        <v>198</v>
      </c>
      <c r="H90" s="64" t="s">
        <v>395</v>
      </c>
      <c r="I90" s="6"/>
      <c r="J90" s="6"/>
      <c r="K90" s="6"/>
      <c r="L90" s="6"/>
      <c r="M90" s="6"/>
      <c r="N90" s="6"/>
      <c r="O90" s="6"/>
      <c r="P90" s="6"/>
      <c r="Q90" s="6"/>
      <c r="R90" s="6"/>
      <c r="S90" s="6"/>
      <c r="T90" s="6"/>
      <c r="U90" s="6"/>
      <c r="V90" s="6"/>
      <c r="W90" s="6"/>
      <c r="X90" s="6"/>
      <c r="Y90" s="6"/>
      <c r="Z90" s="6"/>
    </row>
    <row r="91">
      <c r="A91" s="80" t="s">
        <v>430</v>
      </c>
      <c r="B91" s="47">
        <v>2024.0</v>
      </c>
      <c r="C91" s="56" t="s">
        <v>431</v>
      </c>
      <c r="D91" s="56" t="s">
        <v>432</v>
      </c>
      <c r="E91" s="48" t="s">
        <v>2</v>
      </c>
      <c r="F91" s="72" t="s">
        <v>433</v>
      </c>
      <c r="G91" s="52" t="s">
        <v>434</v>
      </c>
      <c r="H91" s="56" t="s">
        <v>435</v>
      </c>
      <c r="I91" s="6"/>
      <c r="J91" s="6"/>
      <c r="K91" s="6"/>
      <c r="L91" s="6"/>
      <c r="M91" s="6"/>
      <c r="N91" s="6"/>
      <c r="O91" s="6"/>
      <c r="P91" s="6"/>
      <c r="Q91" s="6"/>
      <c r="R91" s="6"/>
      <c r="S91" s="6"/>
      <c r="T91" s="6"/>
      <c r="U91" s="6"/>
      <c r="V91" s="6"/>
      <c r="W91" s="6"/>
      <c r="X91" s="6"/>
      <c r="Y91" s="6"/>
      <c r="Z91" s="6"/>
    </row>
    <row r="92">
      <c r="A92" s="80" t="s">
        <v>436</v>
      </c>
      <c r="B92" s="47">
        <v>2025.0</v>
      </c>
      <c r="C92" s="56" t="s">
        <v>437</v>
      </c>
      <c r="D92" s="56" t="s">
        <v>438</v>
      </c>
      <c r="E92" s="48" t="s">
        <v>2</v>
      </c>
      <c r="F92" s="72" t="s">
        <v>439</v>
      </c>
      <c r="G92" s="52" t="s">
        <v>198</v>
      </c>
      <c r="H92" s="56" t="s">
        <v>440</v>
      </c>
      <c r="I92" s="6"/>
      <c r="J92" s="6"/>
      <c r="K92" s="6"/>
      <c r="L92" s="6"/>
      <c r="M92" s="6"/>
      <c r="N92" s="6"/>
      <c r="O92" s="6"/>
      <c r="P92" s="6"/>
      <c r="Q92" s="6"/>
      <c r="R92" s="6"/>
      <c r="S92" s="6"/>
      <c r="T92" s="6"/>
      <c r="U92" s="6"/>
      <c r="V92" s="6"/>
      <c r="W92" s="6"/>
      <c r="X92" s="6"/>
      <c r="Y92" s="6"/>
      <c r="Z92" s="6"/>
    </row>
    <row r="93">
      <c r="A93" s="80" t="s">
        <v>441</v>
      </c>
      <c r="B93" s="47">
        <v>2020.0</v>
      </c>
      <c r="C93" s="56" t="s">
        <v>442</v>
      </c>
      <c r="D93" s="52" t="s">
        <v>443</v>
      </c>
      <c r="E93" s="48" t="s">
        <v>2</v>
      </c>
      <c r="F93" s="72" t="s">
        <v>444</v>
      </c>
      <c r="G93" s="52" t="s">
        <v>198</v>
      </c>
      <c r="H93" s="56" t="s">
        <v>445</v>
      </c>
      <c r="I93" s="6"/>
      <c r="J93" s="6"/>
      <c r="K93" s="6"/>
      <c r="L93" s="6"/>
      <c r="M93" s="6"/>
      <c r="N93" s="6"/>
      <c r="O93" s="6"/>
      <c r="P93" s="6"/>
      <c r="Q93" s="6"/>
      <c r="R93" s="6"/>
      <c r="S93" s="6"/>
      <c r="T93" s="6"/>
      <c r="U93" s="6"/>
      <c r="V93" s="6"/>
      <c r="W93" s="6"/>
      <c r="X93" s="6"/>
      <c r="Y93" s="6"/>
      <c r="Z93" s="6"/>
    </row>
    <row r="94">
      <c r="A94" s="80" t="s">
        <v>446</v>
      </c>
      <c r="B94" s="47">
        <v>2025.0</v>
      </c>
      <c r="C94" s="56" t="s">
        <v>447</v>
      </c>
      <c r="D94" s="56" t="s">
        <v>448</v>
      </c>
      <c r="E94" s="48" t="s">
        <v>2</v>
      </c>
      <c r="F94" s="72" t="s">
        <v>449</v>
      </c>
      <c r="G94" s="52" t="s">
        <v>198</v>
      </c>
      <c r="H94" s="56" t="s">
        <v>450</v>
      </c>
      <c r="I94" s="6"/>
      <c r="J94" s="6"/>
      <c r="K94" s="6"/>
      <c r="L94" s="6"/>
      <c r="M94" s="6"/>
      <c r="N94" s="6"/>
      <c r="O94" s="6"/>
      <c r="P94" s="6"/>
      <c r="Q94" s="6"/>
      <c r="R94" s="6"/>
      <c r="S94" s="6"/>
      <c r="T94" s="6"/>
      <c r="U94" s="6"/>
      <c r="V94" s="6"/>
      <c r="W94" s="6"/>
      <c r="X94" s="6"/>
      <c r="Y94" s="6"/>
      <c r="Z94" s="6"/>
    </row>
    <row r="95">
      <c r="A95" s="80" t="s">
        <v>451</v>
      </c>
      <c r="B95" s="47">
        <v>2025.0</v>
      </c>
      <c r="C95" s="56" t="s">
        <v>452</v>
      </c>
      <c r="D95" s="56" t="s">
        <v>453</v>
      </c>
      <c r="E95" s="48" t="s">
        <v>399</v>
      </c>
      <c r="F95" s="72" t="s">
        <v>454</v>
      </c>
      <c r="G95" s="52" t="s">
        <v>434</v>
      </c>
      <c r="H95" s="56" t="s">
        <v>455</v>
      </c>
      <c r="I95" s="6"/>
      <c r="J95" s="6"/>
      <c r="K95" s="6"/>
      <c r="L95" s="6"/>
      <c r="M95" s="6"/>
      <c r="N95" s="6"/>
      <c r="O95" s="6"/>
      <c r="P95" s="6"/>
      <c r="Q95" s="6"/>
      <c r="R95" s="6"/>
      <c r="S95" s="6"/>
      <c r="T95" s="6"/>
      <c r="U95" s="6"/>
      <c r="V95" s="6"/>
      <c r="W95" s="6"/>
      <c r="X95" s="6"/>
      <c r="Y95" s="6"/>
      <c r="Z95" s="6"/>
    </row>
    <row r="96">
      <c r="A96" s="80" t="s">
        <v>456</v>
      </c>
      <c r="B96" s="47">
        <v>2021.0</v>
      </c>
      <c r="C96" s="56" t="s">
        <v>457</v>
      </c>
      <c r="D96" s="56" t="s">
        <v>458</v>
      </c>
      <c r="E96" s="48" t="s">
        <v>2</v>
      </c>
      <c r="F96" s="72" t="s">
        <v>66</v>
      </c>
      <c r="G96" s="52" t="s">
        <v>434</v>
      </c>
      <c r="H96" s="56" t="s">
        <v>459</v>
      </c>
      <c r="I96" s="6"/>
      <c r="J96" s="6"/>
      <c r="K96" s="6"/>
      <c r="L96" s="6"/>
      <c r="M96" s="6"/>
      <c r="N96" s="6"/>
      <c r="O96" s="6"/>
      <c r="P96" s="6"/>
      <c r="Q96" s="6"/>
      <c r="R96" s="6"/>
      <c r="S96" s="6"/>
      <c r="T96" s="6"/>
      <c r="U96" s="6"/>
      <c r="V96" s="6"/>
      <c r="W96" s="6"/>
      <c r="X96" s="6"/>
      <c r="Y96" s="6"/>
      <c r="Z96" s="6"/>
    </row>
    <row r="97">
      <c r="A97" s="80" t="s">
        <v>460</v>
      </c>
      <c r="B97" s="47">
        <v>2024.0</v>
      </c>
      <c r="C97" s="56" t="s">
        <v>461</v>
      </c>
      <c r="D97" s="56" t="s">
        <v>462</v>
      </c>
      <c r="E97" s="48" t="s">
        <v>41</v>
      </c>
      <c r="F97" s="73" t="s">
        <v>463</v>
      </c>
      <c r="G97" s="52" t="s">
        <v>434</v>
      </c>
      <c r="H97" s="56" t="s">
        <v>464</v>
      </c>
      <c r="I97" s="6"/>
      <c r="J97" s="6"/>
      <c r="K97" s="6"/>
      <c r="L97" s="6"/>
      <c r="M97" s="6"/>
      <c r="N97" s="6"/>
      <c r="O97" s="6"/>
      <c r="P97" s="6"/>
      <c r="Q97" s="6"/>
      <c r="R97" s="6"/>
      <c r="S97" s="6"/>
      <c r="T97" s="6"/>
      <c r="U97" s="6"/>
      <c r="V97" s="6"/>
      <c r="W97" s="6"/>
      <c r="X97" s="6"/>
      <c r="Y97" s="6"/>
      <c r="Z97" s="6"/>
    </row>
    <row r="98">
      <c r="A98" s="80" t="s">
        <v>465</v>
      </c>
      <c r="B98" s="47">
        <v>2004.0</v>
      </c>
      <c r="C98" s="56" t="s">
        <v>466</v>
      </c>
      <c r="D98" s="56" t="s">
        <v>467</v>
      </c>
      <c r="E98" s="16" t="s">
        <v>51</v>
      </c>
      <c r="F98" s="72" t="s">
        <v>468</v>
      </c>
      <c r="G98" s="52" t="s">
        <v>434</v>
      </c>
      <c r="H98" s="56" t="s">
        <v>469</v>
      </c>
      <c r="I98" s="6"/>
      <c r="J98" s="6"/>
      <c r="K98" s="6"/>
      <c r="L98" s="6"/>
      <c r="M98" s="6"/>
      <c r="N98" s="6"/>
      <c r="O98" s="6"/>
      <c r="P98" s="6"/>
      <c r="Q98" s="6"/>
      <c r="R98" s="6"/>
      <c r="S98" s="6"/>
      <c r="T98" s="6"/>
      <c r="U98" s="6"/>
      <c r="V98" s="6"/>
      <c r="W98" s="6"/>
      <c r="X98" s="6"/>
      <c r="Y98" s="6"/>
      <c r="Z98" s="6"/>
    </row>
    <row r="99">
      <c r="A99" s="80" t="s">
        <v>324</v>
      </c>
      <c r="B99" s="47">
        <v>2024.0</v>
      </c>
      <c r="C99" s="56" t="s">
        <v>470</v>
      </c>
      <c r="D99" s="56" t="s">
        <v>471</v>
      </c>
      <c r="E99" s="48" t="s">
        <v>215</v>
      </c>
      <c r="F99" s="73" t="s">
        <v>327</v>
      </c>
      <c r="G99" s="52" t="s">
        <v>472</v>
      </c>
      <c r="H99" s="56" t="s">
        <v>473</v>
      </c>
      <c r="I99" s="6"/>
      <c r="J99" s="6"/>
      <c r="K99" s="6"/>
      <c r="L99" s="6"/>
      <c r="M99" s="6"/>
      <c r="N99" s="6"/>
      <c r="O99" s="6"/>
      <c r="P99" s="6"/>
      <c r="Q99" s="6"/>
      <c r="R99" s="6"/>
      <c r="S99" s="6"/>
      <c r="T99" s="6"/>
      <c r="U99" s="6"/>
      <c r="V99" s="6"/>
      <c r="W99" s="6"/>
      <c r="X99" s="6"/>
      <c r="Y99" s="6"/>
      <c r="Z99" s="6"/>
    </row>
    <row r="100">
      <c r="A100" s="80" t="s">
        <v>474</v>
      </c>
      <c r="B100" s="47">
        <v>2022.0</v>
      </c>
      <c r="C100" s="56" t="s">
        <v>475</v>
      </c>
      <c r="D100" s="56" t="s">
        <v>476</v>
      </c>
      <c r="E100" s="48" t="s">
        <v>41</v>
      </c>
      <c r="F100" s="72" t="s">
        <v>477</v>
      </c>
      <c r="G100" s="52" t="s">
        <v>198</v>
      </c>
      <c r="H100" s="56" t="s">
        <v>478</v>
      </c>
      <c r="I100" s="6"/>
      <c r="J100" s="6"/>
      <c r="K100" s="6"/>
      <c r="L100" s="6"/>
      <c r="M100" s="6"/>
      <c r="N100" s="6"/>
      <c r="O100" s="6"/>
      <c r="P100" s="6"/>
      <c r="Q100" s="6"/>
      <c r="R100" s="6"/>
      <c r="S100" s="6"/>
      <c r="T100" s="6"/>
      <c r="U100" s="6"/>
      <c r="V100" s="6"/>
      <c r="W100" s="6"/>
      <c r="X100" s="6"/>
      <c r="Y100" s="6"/>
      <c r="Z100" s="6"/>
    </row>
    <row r="101">
      <c r="A101" s="80" t="s">
        <v>479</v>
      </c>
      <c r="B101" s="47">
        <v>2024.0</v>
      </c>
      <c r="C101" s="56" t="s">
        <v>480</v>
      </c>
      <c r="D101" s="48" t="s">
        <v>481</v>
      </c>
      <c r="E101" s="48" t="s">
        <v>215</v>
      </c>
      <c r="F101" s="73" t="s">
        <v>482</v>
      </c>
      <c r="G101" s="52" t="s">
        <v>483</v>
      </c>
      <c r="H101" s="56" t="s">
        <v>484</v>
      </c>
      <c r="I101" s="6"/>
      <c r="J101" s="6"/>
      <c r="K101" s="6"/>
      <c r="L101" s="6"/>
      <c r="M101" s="6"/>
      <c r="N101" s="6"/>
      <c r="O101" s="6"/>
      <c r="P101" s="6"/>
      <c r="Q101" s="6"/>
      <c r="R101" s="6"/>
      <c r="S101" s="6"/>
      <c r="T101" s="6"/>
      <c r="U101" s="6"/>
      <c r="V101" s="6"/>
      <c r="W101" s="6"/>
      <c r="X101" s="6"/>
      <c r="Y101" s="6"/>
      <c r="Z101" s="6"/>
    </row>
    <row r="102">
      <c r="A102" s="16" t="s">
        <v>485</v>
      </c>
      <c r="B102" s="81">
        <v>2014.0</v>
      </c>
      <c r="C102" s="16" t="s">
        <v>486</v>
      </c>
      <c r="D102" s="16" t="s">
        <v>487</v>
      </c>
      <c r="E102" s="16" t="s">
        <v>488</v>
      </c>
      <c r="F102" s="82" t="s">
        <v>489</v>
      </c>
      <c r="G102" s="16" t="s">
        <v>337</v>
      </c>
      <c r="H102" s="16" t="s">
        <v>490</v>
      </c>
      <c r="J102" s="6"/>
      <c r="K102" s="6"/>
      <c r="L102" s="6"/>
      <c r="M102" s="6"/>
      <c r="N102" s="6"/>
      <c r="O102" s="6"/>
      <c r="P102" s="6"/>
      <c r="Q102" s="6"/>
      <c r="R102" s="6"/>
      <c r="S102" s="6"/>
      <c r="T102" s="6"/>
      <c r="U102" s="6"/>
      <c r="V102" s="6"/>
      <c r="W102" s="6"/>
      <c r="X102" s="6"/>
      <c r="Y102" s="6"/>
      <c r="Z102" s="6"/>
    </row>
    <row r="103">
      <c r="A103" s="16" t="s">
        <v>491</v>
      </c>
      <c r="B103" s="81">
        <v>2024.0</v>
      </c>
      <c r="C103" s="16" t="s">
        <v>492</v>
      </c>
      <c r="D103" s="16" t="s">
        <v>493</v>
      </c>
      <c r="E103" s="16" t="s">
        <v>83</v>
      </c>
      <c r="F103" s="82" t="s">
        <v>494</v>
      </c>
      <c r="G103" s="16" t="s">
        <v>495</v>
      </c>
      <c r="H103" s="16" t="s">
        <v>490</v>
      </c>
      <c r="J103" s="6"/>
      <c r="K103" s="6"/>
      <c r="L103" s="6"/>
      <c r="M103" s="6"/>
      <c r="N103" s="6"/>
      <c r="O103" s="6"/>
      <c r="P103" s="6"/>
      <c r="Q103" s="6"/>
      <c r="R103" s="6"/>
      <c r="S103" s="6"/>
      <c r="T103" s="6"/>
      <c r="U103" s="6"/>
      <c r="V103" s="6"/>
      <c r="W103" s="6"/>
      <c r="X103" s="6"/>
      <c r="Y103" s="6"/>
      <c r="Z103" s="6"/>
    </row>
    <row r="104">
      <c r="A104" s="16" t="s">
        <v>496</v>
      </c>
      <c r="B104" s="81">
        <v>2018.0</v>
      </c>
      <c r="C104" s="16" t="s">
        <v>497</v>
      </c>
      <c r="D104" s="16" t="s">
        <v>498</v>
      </c>
      <c r="E104" s="16" t="s">
        <v>65</v>
      </c>
      <c r="F104" s="82" t="s">
        <v>499</v>
      </c>
      <c r="G104" s="16" t="s">
        <v>337</v>
      </c>
      <c r="H104" s="16" t="s">
        <v>490</v>
      </c>
      <c r="J104" s="6"/>
      <c r="K104" s="6"/>
      <c r="L104" s="6"/>
      <c r="M104" s="6"/>
      <c r="N104" s="6"/>
      <c r="O104" s="6"/>
      <c r="P104" s="6"/>
      <c r="Q104" s="6"/>
      <c r="R104" s="6"/>
      <c r="S104" s="6"/>
      <c r="T104" s="6"/>
      <c r="U104" s="6"/>
      <c r="V104" s="6"/>
      <c r="W104" s="6"/>
      <c r="X104" s="6"/>
      <c r="Y104" s="6"/>
      <c r="Z104" s="6"/>
    </row>
    <row r="105">
      <c r="A105" s="16" t="s">
        <v>500</v>
      </c>
      <c r="B105" s="81">
        <v>2023.0</v>
      </c>
      <c r="C105" s="16" t="s">
        <v>501</v>
      </c>
      <c r="D105" s="16" t="s">
        <v>502</v>
      </c>
      <c r="E105" s="16" t="s">
        <v>83</v>
      </c>
      <c r="F105" s="82" t="s">
        <v>503</v>
      </c>
      <c r="G105" s="16" t="s">
        <v>504</v>
      </c>
      <c r="H105" s="16" t="s">
        <v>490</v>
      </c>
      <c r="J105" s="6"/>
      <c r="K105" s="6"/>
      <c r="L105" s="6"/>
      <c r="M105" s="6"/>
      <c r="N105" s="6"/>
      <c r="O105" s="6"/>
      <c r="P105" s="6"/>
      <c r="Q105" s="6"/>
      <c r="R105" s="6"/>
      <c r="S105" s="6"/>
      <c r="T105" s="6"/>
      <c r="U105" s="6"/>
      <c r="V105" s="6"/>
      <c r="W105" s="6"/>
      <c r="X105" s="6"/>
      <c r="Y105" s="6"/>
      <c r="Z105" s="6"/>
    </row>
    <row r="106">
      <c r="A106" s="16" t="s">
        <v>505</v>
      </c>
      <c r="B106" s="16" t="s">
        <v>506</v>
      </c>
      <c r="C106" s="16" t="s">
        <v>507</v>
      </c>
      <c r="D106" s="16" t="s">
        <v>508</v>
      </c>
      <c r="E106" s="16" t="s">
        <v>96</v>
      </c>
      <c r="F106" s="82" t="s">
        <v>509</v>
      </c>
      <c r="G106" s="16" t="s">
        <v>504</v>
      </c>
      <c r="H106" s="16" t="s">
        <v>490</v>
      </c>
      <c r="J106" s="6"/>
      <c r="K106" s="6"/>
      <c r="L106" s="6"/>
      <c r="M106" s="6"/>
      <c r="N106" s="6"/>
      <c r="O106" s="6"/>
      <c r="P106" s="6"/>
      <c r="Q106" s="6"/>
      <c r="R106" s="6"/>
      <c r="S106" s="6"/>
      <c r="T106" s="6"/>
      <c r="U106" s="6"/>
      <c r="V106" s="6"/>
      <c r="W106" s="6"/>
      <c r="X106" s="6"/>
      <c r="Y106" s="6"/>
      <c r="Z106" s="6"/>
    </row>
    <row r="107">
      <c r="A107" s="16" t="s">
        <v>510</v>
      </c>
      <c r="B107" s="81">
        <v>2023.0</v>
      </c>
      <c r="C107" s="16" t="s">
        <v>511</v>
      </c>
      <c r="D107" s="16" t="s">
        <v>512</v>
      </c>
      <c r="E107" s="16" t="s">
        <v>46</v>
      </c>
      <c r="F107" s="82" t="s">
        <v>513</v>
      </c>
      <c r="G107" s="16" t="s">
        <v>504</v>
      </c>
      <c r="H107" s="16" t="s">
        <v>490</v>
      </c>
      <c r="J107" s="6"/>
      <c r="K107" s="6"/>
      <c r="L107" s="6"/>
      <c r="M107" s="6"/>
      <c r="N107" s="6"/>
      <c r="O107" s="6"/>
      <c r="P107" s="6"/>
      <c r="Q107" s="6"/>
      <c r="R107" s="6"/>
      <c r="S107" s="6"/>
      <c r="T107" s="6"/>
      <c r="U107" s="6"/>
      <c r="V107" s="6"/>
      <c r="W107" s="6"/>
      <c r="X107" s="6"/>
      <c r="Y107" s="6"/>
      <c r="Z107" s="6"/>
    </row>
    <row r="108">
      <c r="A108" s="16" t="s">
        <v>514</v>
      </c>
      <c r="B108" s="81">
        <v>2024.0</v>
      </c>
      <c r="C108" s="16" t="s">
        <v>515</v>
      </c>
      <c r="D108" s="16" t="s">
        <v>516</v>
      </c>
      <c r="E108" s="16" t="s">
        <v>41</v>
      </c>
      <c r="F108" s="82" t="s">
        <v>517</v>
      </c>
      <c r="G108" s="16" t="s">
        <v>504</v>
      </c>
      <c r="H108" s="16" t="s">
        <v>490</v>
      </c>
      <c r="J108" s="6"/>
      <c r="K108" s="6"/>
      <c r="L108" s="6"/>
      <c r="M108" s="6"/>
      <c r="N108" s="6"/>
      <c r="O108" s="6"/>
      <c r="P108" s="6"/>
      <c r="Q108" s="6"/>
      <c r="R108" s="6"/>
      <c r="S108" s="6"/>
      <c r="T108" s="6"/>
      <c r="U108" s="6"/>
      <c r="V108" s="6"/>
      <c r="W108" s="6"/>
      <c r="X108" s="6"/>
      <c r="Y108" s="6"/>
      <c r="Z108" s="6"/>
    </row>
    <row r="109">
      <c r="A109" s="16" t="s">
        <v>518</v>
      </c>
      <c r="B109" s="81">
        <v>2021.0</v>
      </c>
      <c r="C109" s="16" t="s">
        <v>519</v>
      </c>
      <c r="D109" s="16" t="s">
        <v>520</v>
      </c>
      <c r="E109" s="16" t="s">
        <v>488</v>
      </c>
      <c r="F109" s="82" t="s">
        <v>521</v>
      </c>
      <c r="G109" s="16" t="s">
        <v>337</v>
      </c>
      <c r="H109" s="16" t="s">
        <v>490</v>
      </c>
      <c r="J109" s="6"/>
      <c r="K109" s="6"/>
      <c r="L109" s="6"/>
      <c r="M109" s="6"/>
      <c r="N109" s="6"/>
      <c r="O109" s="6"/>
      <c r="P109" s="6"/>
      <c r="Q109" s="6"/>
      <c r="R109" s="6"/>
      <c r="S109" s="6"/>
      <c r="T109" s="6"/>
      <c r="U109" s="6"/>
      <c r="V109" s="6"/>
      <c r="W109" s="6"/>
      <c r="X109" s="6"/>
      <c r="Y109" s="6"/>
      <c r="Z109" s="6"/>
    </row>
    <row r="110">
      <c r="A110" s="16" t="s">
        <v>522</v>
      </c>
      <c r="B110" s="16" t="s">
        <v>523</v>
      </c>
      <c r="C110" s="16" t="s">
        <v>524</v>
      </c>
      <c r="D110" s="16" t="s">
        <v>525</v>
      </c>
      <c r="E110" s="16" t="s">
        <v>2</v>
      </c>
      <c r="F110" s="82" t="s">
        <v>526</v>
      </c>
      <c r="G110" s="16" t="s">
        <v>337</v>
      </c>
      <c r="H110" s="16" t="s">
        <v>490</v>
      </c>
      <c r="J110" s="6"/>
      <c r="K110" s="6"/>
      <c r="L110" s="6"/>
      <c r="M110" s="6"/>
      <c r="N110" s="6"/>
      <c r="O110" s="6"/>
      <c r="P110" s="6"/>
      <c r="Q110" s="6"/>
      <c r="R110" s="6"/>
      <c r="S110" s="6"/>
      <c r="T110" s="6"/>
      <c r="U110" s="6"/>
      <c r="V110" s="6"/>
      <c r="W110" s="6"/>
      <c r="X110" s="6"/>
      <c r="Y110" s="6"/>
      <c r="Z110" s="6"/>
    </row>
    <row r="111">
      <c r="A111" s="16" t="s">
        <v>527</v>
      </c>
      <c r="B111" s="81">
        <v>2011.0</v>
      </c>
      <c r="C111" s="16" t="s">
        <v>528</v>
      </c>
      <c r="D111" s="16" t="s">
        <v>529</v>
      </c>
      <c r="E111" s="16" t="s">
        <v>530</v>
      </c>
      <c r="F111" s="82" t="s">
        <v>531</v>
      </c>
      <c r="G111" s="16" t="s">
        <v>337</v>
      </c>
      <c r="H111" s="16" t="s">
        <v>490</v>
      </c>
      <c r="J111" s="6"/>
      <c r="K111" s="6"/>
      <c r="L111" s="6"/>
      <c r="M111" s="6"/>
      <c r="N111" s="6"/>
      <c r="O111" s="6"/>
      <c r="P111" s="6"/>
      <c r="Q111" s="6"/>
      <c r="R111" s="6"/>
      <c r="S111" s="6"/>
      <c r="T111" s="6"/>
      <c r="U111" s="6"/>
      <c r="V111" s="6"/>
      <c r="W111" s="6"/>
      <c r="X111" s="6"/>
      <c r="Y111" s="6"/>
      <c r="Z111" s="6"/>
    </row>
    <row r="112">
      <c r="A112" s="16" t="s">
        <v>172</v>
      </c>
      <c r="B112" s="81">
        <v>2025.0</v>
      </c>
      <c r="C112" s="16" t="s">
        <v>532</v>
      </c>
      <c r="D112" s="16" t="s">
        <v>533</v>
      </c>
      <c r="E112" s="16" t="s">
        <v>51</v>
      </c>
      <c r="F112" s="82" t="s">
        <v>534</v>
      </c>
      <c r="G112" s="16" t="s">
        <v>504</v>
      </c>
      <c r="H112" s="16" t="s">
        <v>535</v>
      </c>
      <c r="J112" s="6"/>
      <c r="K112" s="6"/>
      <c r="L112" s="6"/>
      <c r="M112" s="6"/>
      <c r="N112" s="6"/>
      <c r="O112" s="6"/>
      <c r="P112" s="6"/>
      <c r="Q112" s="6"/>
      <c r="R112" s="6"/>
      <c r="S112" s="6"/>
      <c r="T112" s="6"/>
      <c r="U112" s="6"/>
      <c r="V112" s="6"/>
      <c r="W112" s="6"/>
      <c r="X112" s="6"/>
      <c r="Y112" s="6"/>
      <c r="Z112" s="6"/>
    </row>
    <row r="113">
      <c r="A113" s="16" t="s">
        <v>536</v>
      </c>
      <c r="B113" s="81">
        <v>2023.0</v>
      </c>
      <c r="C113" s="16" t="s">
        <v>537</v>
      </c>
      <c r="D113" s="16" t="s">
        <v>538</v>
      </c>
      <c r="E113" s="16" t="s">
        <v>2</v>
      </c>
      <c r="F113" s="82" t="s">
        <v>539</v>
      </c>
      <c r="G113" s="16" t="s">
        <v>337</v>
      </c>
      <c r="H113" s="16" t="s">
        <v>535</v>
      </c>
      <c r="J113" s="6"/>
      <c r="K113" s="6"/>
      <c r="L113" s="6"/>
      <c r="M113" s="6"/>
      <c r="N113" s="6"/>
      <c r="O113" s="6"/>
      <c r="P113" s="6"/>
      <c r="Q113" s="6"/>
      <c r="R113" s="6"/>
      <c r="S113" s="6"/>
      <c r="T113" s="6"/>
      <c r="U113" s="6"/>
      <c r="V113" s="6"/>
      <c r="W113" s="6"/>
      <c r="X113" s="6"/>
      <c r="Y113" s="6"/>
      <c r="Z113" s="6"/>
    </row>
    <row r="114">
      <c r="A114" s="16" t="s">
        <v>540</v>
      </c>
      <c r="B114" s="81">
        <v>2025.0</v>
      </c>
      <c r="C114" s="16" t="s">
        <v>541</v>
      </c>
      <c r="D114" s="16" t="s">
        <v>542</v>
      </c>
      <c r="E114" s="16" t="s">
        <v>46</v>
      </c>
      <c r="F114" s="82" t="s">
        <v>543</v>
      </c>
      <c r="G114" s="16" t="s">
        <v>544</v>
      </c>
      <c r="H114" s="16" t="s">
        <v>535</v>
      </c>
      <c r="J114" s="6"/>
      <c r="K114" s="6"/>
      <c r="L114" s="6"/>
      <c r="M114" s="6"/>
      <c r="N114" s="6"/>
      <c r="O114" s="6"/>
      <c r="P114" s="6"/>
      <c r="Q114" s="6"/>
      <c r="R114" s="6"/>
      <c r="S114" s="6"/>
      <c r="T114" s="6"/>
      <c r="U114" s="6"/>
      <c r="V114" s="6"/>
      <c r="W114" s="6"/>
      <c r="X114" s="6"/>
      <c r="Y114" s="6"/>
      <c r="Z114" s="6"/>
    </row>
    <row r="115">
      <c r="A115" s="16" t="s">
        <v>545</v>
      </c>
      <c r="B115" s="81">
        <v>2017.0</v>
      </c>
      <c r="C115" s="16" t="s">
        <v>546</v>
      </c>
      <c r="D115" s="16" t="s">
        <v>547</v>
      </c>
      <c r="E115" s="16" t="s">
        <v>187</v>
      </c>
      <c r="F115" s="82" t="s">
        <v>548</v>
      </c>
      <c r="G115" s="16" t="s">
        <v>504</v>
      </c>
      <c r="H115" s="16" t="s">
        <v>535</v>
      </c>
      <c r="J115" s="6"/>
      <c r="K115" s="6"/>
      <c r="L115" s="6"/>
      <c r="M115" s="6"/>
      <c r="N115" s="6"/>
      <c r="O115" s="6"/>
      <c r="P115" s="6"/>
      <c r="Q115" s="6"/>
      <c r="R115" s="6"/>
      <c r="S115" s="6"/>
      <c r="T115" s="6"/>
      <c r="U115" s="6"/>
      <c r="V115" s="6"/>
      <c r="W115" s="6"/>
      <c r="X115" s="6"/>
      <c r="Y115" s="6"/>
      <c r="Z115" s="6"/>
    </row>
    <row r="116">
      <c r="A116" s="16" t="s">
        <v>549</v>
      </c>
      <c r="B116" s="81">
        <v>2022.0</v>
      </c>
      <c r="C116" s="16" t="s">
        <v>550</v>
      </c>
      <c r="D116" s="16" t="s">
        <v>551</v>
      </c>
      <c r="E116" s="16" t="s">
        <v>51</v>
      </c>
      <c r="F116" s="82" t="s">
        <v>552</v>
      </c>
      <c r="G116" s="16" t="s">
        <v>504</v>
      </c>
      <c r="H116" s="16" t="s">
        <v>535</v>
      </c>
      <c r="J116" s="6"/>
      <c r="K116" s="6"/>
      <c r="L116" s="6"/>
      <c r="M116" s="6"/>
      <c r="N116" s="6"/>
      <c r="O116" s="6"/>
      <c r="P116" s="6"/>
      <c r="Q116" s="6"/>
      <c r="R116" s="6"/>
      <c r="S116" s="6"/>
      <c r="T116" s="6"/>
      <c r="U116" s="6"/>
      <c r="V116" s="6"/>
      <c r="W116" s="6"/>
      <c r="X116" s="6"/>
      <c r="Y116" s="6"/>
      <c r="Z116" s="6"/>
    </row>
    <row r="117">
      <c r="A117" s="16" t="s">
        <v>553</v>
      </c>
      <c r="B117" s="81">
        <v>2024.0</v>
      </c>
      <c r="C117" s="16" t="s">
        <v>554</v>
      </c>
      <c r="D117" s="16" t="s">
        <v>555</v>
      </c>
      <c r="E117" s="16" t="s">
        <v>2</v>
      </c>
      <c r="F117" s="82" t="s">
        <v>556</v>
      </c>
      <c r="G117" s="16" t="s">
        <v>504</v>
      </c>
      <c r="H117" s="16" t="s">
        <v>535</v>
      </c>
      <c r="J117" s="6"/>
      <c r="K117" s="6"/>
      <c r="L117" s="6"/>
      <c r="M117" s="6"/>
      <c r="N117" s="6"/>
      <c r="O117" s="6"/>
      <c r="P117" s="6"/>
      <c r="Q117" s="6"/>
      <c r="R117" s="6"/>
      <c r="S117" s="6"/>
      <c r="T117" s="6"/>
      <c r="U117" s="6"/>
      <c r="V117" s="6"/>
      <c r="W117" s="6"/>
      <c r="X117" s="6"/>
      <c r="Y117" s="6"/>
      <c r="Z117" s="6"/>
    </row>
    <row r="118">
      <c r="A118" s="16" t="s">
        <v>557</v>
      </c>
      <c r="B118" s="81">
        <v>2024.0</v>
      </c>
      <c r="C118" s="16" t="s">
        <v>558</v>
      </c>
      <c r="D118" s="16" t="s">
        <v>559</v>
      </c>
      <c r="E118" s="16" t="s">
        <v>41</v>
      </c>
      <c r="F118" s="82" t="s">
        <v>560</v>
      </c>
      <c r="G118" s="16" t="s">
        <v>504</v>
      </c>
      <c r="H118" s="16" t="s">
        <v>535</v>
      </c>
      <c r="J118" s="6"/>
      <c r="K118" s="6"/>
      <c r="L118" s="6"/>
      <c r="M118" s="6"/>
      <c r="N118" s="6"/>
      <c r="O118" s="6"/>
      <c r="P118" s="6"/>
      <c r="Q118" s="6"/>
      <c r="R118" s="6"/>
      <c r="S118" s="6"/>
      <c r="T118" s="6"/>
      <c r="U118" s="6"/>
      <c r="V118" s="6"/>
      <c r="W118" s="6"/>
      <c r="X118" s="6"/>
      <c r="Y118" s="6"/>
      <c r="Z118" s="6"/>
    </row>
    <row r="119">
      <c r="A119" s="16" t="s">
        <v>561</v>
      </c>
      <c r="B119" s="81">
        <v>2025.0</v>
      </c>
      <c r="C119" s="16" t="s">
        <v>562</v>
      </c>
      <c r="D119" s="16" t="s">
        <v>563</v>
      </c>
      <c r="E119" s="16" t="s">
        <v>2</v>
      </c>
      <c r="F119" s="82" t="s">
        <v>564</v>
      </c>
      <c r="G119" s="16" t="s">
        <v>504</v>
      </c>
      <c r="H119" s="16" t="s">
        <v>535</v>
      </c>
      <c r="J119" s="6"/>
      <c r="K119" s="6"/>
      <c r="L119" s="6"/>
      <c r="M119" s="6"/>
      <c r="N119" s="6"/>
      <c r="O119" s="6"/>
      <c r="P119" s="6"/>
      <c r="Q119" s="6"/>
      <c r="R119" s="6"/>
      <c r="S119" s="6"/>
      <c r="T119" s="6"/>
      <c r="U119" s="6"/>
      <c r="V119" s="6"/>
      <c r="W119" s="6"/>
      <c r="X119" s="6"/>
      <c r="Y119" s="6"/>
      <c r="Z119" s="6"/>
    </row>
    <row r="120">
      <c r="A120" s="16" t="s">
        <v>565</v>
      </c>
      <c r="B120" s="81">
        <v>2025.0</v>
      </c>
      <c r="C120" s="16" t="s">
        <v>566</v>
      </c>
      <c r="D120" s="16" t="s">
        <v>567</v>
      </c>
      <c r="E120" s="16" t="s">
        <v>2</v>
      </c>
      <c r="F120" s="82" t="s">
        <v>568</v>
      </c>
      <c r="G120" s="16" t="s">
        <v>504</v>
      </c>
      <c r="H120" s="16" t="s">
        <v>535</v>
      </c>
      <c r="J120" s="6"/>
      <c r="K120" s="6"/>
      <c r="L120" s="6"/>
      <c r="M120" s="6"/>
      <c r="N120" s="6"/>
      <c r="O120" s="6"/>
      <c r="P120" s="6"/>
      <c r="Q120" s="6"/>
      <c r="R120" s="6"/>
      <c r="S120" s="6"/>
      <c r="T120" s="6"/>
      <c r="U120" s="6"/>
      <c r="V120" s="6"/>
      <c r="W120" s="6"/>
      <c r="X120" s="6"/>
      <c r="Y120" s="6"/>
      <c r="Z120" s="6"/>
    </row>
    <row r="121">
      <c r="A121" s="16" t="s">
        <v>569</v>
      </c>
      <c r="B121" s="81">
        <v>2022.0</v>
      </c>
      <c r="C121" s="16" t="s">
        <v>570</v>
      </c>
      <c r="D121" s="16" t="s">
        <v>571</v>
      </c>
      <c r="E121" s="16" t="s">
        <v>46</v>
      </c>
      <c r="F121" s="82" t="s">
        <v>572</v>
      </c>
      <c r="G121" s="16" t="s">
        <v>504</v>
      </c>
      <c r="H121" s="16" t="s">
        <v>535</v>
      </c>
      <c r="J121" s="6"/>
      <c r="K121" s="6"/>
      <c r="L121" s="6"/>
      <c r="M121" s="6"/>
      <c r="N121" s="6"/>
      <c r="O121" s="6"/>
      <c r="P121" s="6"/>
      <c r="Q121" s="6"/>
      <c r="R121" s="6"/>
      <c r="S121" s="6"/>
      <c r="T121" s="6"/>
      <c r="U121" s="6"/>
      <c r="V121" s="6"/>
      <c r="W121" s="6"/>
      <c r="X121" s="6"/>
      <c r="Y121" s="6"/>
      <c r="Z121" s="6"/>
    </row>
    <row r="122">
      <c r="A122" s="16" t="s">
        <v>573</v>
      </c>
      <c r="B122" s="81">
        <v>2024.0</v>
      </c>
      <c r="C122" s="16" t="s">
        <v>574</v>
      </c>
      <c r="D122" s="16" t="s">
        <v>575</v>
      </c>
      <c r="E122" s="16" t="s">
        <v>51</v>
      </c>
      <c r="F122" s="82" t="s">
        <v>576</v>
      </c>
      <c r="G122" s="16" t="s">
        <v>504</v>
      </c>
      <c r="H122" s="16" t="s">
        <v>577</v>
      </c>
      <c r="J122" s="6"/>
      <c r="K122" s="6"/>
      <c r="L122" s="6"/>
      <c r="M122" s="6"/>
      <c r="N122" s="6"/>
      <c r="O122" s="6"/>
      <c r="P122" s="6"/>
      <c r="Q122" s="6"/>
      <c r="R122" s="6"/>
      <c r="S122" s="6"/>
      <c r="T122" s="6"/>
      <c r="U122" s="6"/>
      <c r="V122" s="6"/>
      <c r="W122" s="6"/>
      <c r="X122" s="6"/>
      <c r="Y122" s="6"/>
      <c r="Z122" s="6"/>
    </row>
    <row r="123">
      <c r="A123" s="16" t="s">
        <v>578</v>
      </c>
      <c r="B123" s="81">
        <v>2019.0</v>
      </c>
      <c r="C123" s="16" t="s">
        <v>579</v>
      </c>
      <c r="D123" s="16" t="s">
        <v>580</v>
      </c>
      <c r="E123" s="16" t="s">
        <v>29</v>
      </c>
      <c r="F123" s="82" t="s">
        <v>581</v>
      </c>
      <c r="G123" s="16" t="s">
        <v>504</v>
      </c>
      <c r="H123" s="16" t="s">
        <v>577</v>
      </c>
      <c r="J123" s="6"/>
      <c r="K123" s="6"/>
      <c r="L123" s="6"/>
      <c r="M123" s="6"/>
      <c r="N123" s="6"/>
      <c r="O123" s="6"/>
      <c r="P123" s="6"/>
      <c r="Q123" s="6"/>
      <c r="R123" s="6"/>
      <c r="S123" s="6"/>
      <c r="T123" s="6"/>
      <c r="U123" s="6"/>
      <c r="V123" s="6"/>
      <c r="W123" s="6"/>
      <c r="X123" s="6"/>
      <c r="Y123" s="6"/>
      <c r="Z123" s="6"/>
    </row>
    <row r="124">
      <c r="A124" s="16" t="s">
        <v>582</v>
      </c>
      <c r="B124" s="81">
        <v>2020.0</v>
      </c>
      <c r="C124" s="16" t="s">
        <v>583</v>
      </c>
      <c r="D124" s="16" t="s">
        <v>584</v>
      </c>
      <c r="E124" s="16" t="s">
        <v>252</v>
      </c>
      <c r="F124" s="82" t="s">
        <v>585</v>
      </c>
      <c r="G124" s="16" t="s">
        <v>337</v>
      </c>
      <c r="H124" s="16" t="s">
        <v>577</v>
      </c>
      <c r="J124" s="6"/>
      <c r="K124" s="6"/>
      <c r="L124" s="6"/>
      <c r="M124" s="6"/>
      <c r="N124" s="6"/>
      <c r="O124" s="6"/>
      <c r="P124" s="6"/>
      <c r="Q124" s="6"/>
      <c r="R124" s="6"/>
      <c r="S124" s="6"/>
      <c r="T124" s="6"/>
      <c r="U124" s="6"/>
      <c r="V124" s="6"/>
      <c r="W124" s="6"/>
      <c r="X124" s="6"/>
      <c r="Y124" s="6"/>
      <c r="Z124" s="6"/>
    </row>
    <row r="125">
      <c r="A125" s="16" t="s">
        <v>586</v>
      </c>
      <c r="B125" s="81">
        <v>2021.0</v>
      </c>
      <c r="C125" s="16" t="s">
        <v>587</v>
      </c>
      <c r="D125" s="16" t="s">
        <v>588</v>
      </c>
      <c r="E125" s="16" t="s">
        <v>2</v>
      </c>
      <c r="F125" s="82" t="s">
        <v>589</v>
      </c>
      <c r="G125" s="16" t="s">
        <v>504</v>
      </c>
      <c r="H125" s="16" t="s">
        <v>577</v>
      </c>
      <c r="J125" s="6"/>
      <c r="K125" s="6"/>
      <c r="L125" s="6"/>
      <c r="M125" s="6"/>
      <c r="N125" s="6"/>
      <c r="O125" s="6"/>
      <c r="P125" s="6"/>
      <c r="Q125" s="6"/>
      <c r="R125" s="6"/>
      <c r="S125" s="6"/>
      <c r="T125" s="6"/>
      <c r="U125" s="6"/>
      <c r="V125" s="6"/>
      <c r="W125" s="6"/>
      <c r="X125" s="6"/>
      <c r="Y125" s="6"/>
      <c r="Z125" s="6"/>
    </row>
    <row r="126">
      <c r="A126" s="16" t="s">
        <v>590</v>
      </c>
      <c r="B126" s="16" t="s">
        <v>523</v>
      </c>
      <c r="C126" s="16" t="s">
        <v>591</v>
      </c>
      <c r="D126" s="16" t="s">
        <v>592</v>
      </c>
      <c r="E126" s="16" t="s">
        <v>2</v>
      </c>
      <c r="F126" s="82" t="s">
        <v>593</v>
      </c>
      <c r="G126" s="16" t="s">
        <v>504</v>
      </c>
      <c r="H126" s="16" t="s">
        <v>577</v>
      </c>
      <c r="J126" s="6"/>
      <c r="K126" s="6"/>
      <c r="L126" s="6"/>
      <c r="M126" s="6"/>
      <c r="N126" s="6"/>
      <c r="O126" s="6"/>
      <c r="P126" s="6"/>
      <c r="Q126" s="6"/>
      <c r="R126" s="6"/>
      <c r="S126" s="6"/>
      <c r="T126" s="6"/>
      <c r="U126" s="6"/>
      <c r="V126" s="6"/>
      <c r="W126" s="6"/>
      <c r="X126" s="6"/>
      <c r="Y126" s="6"/>
      <c r="Z126" s="6"/>
    </row>
    <row r="127">
      <c r="A127" s="16" t="s">
        <v>594</v>
      </c>
      <c r="B127" s="81">
        <v>2004.0</v>
      </c>
      <c r="C127" s="16" t="s">
        <v>595</v>
      </c>
      <c r="D127" s="16" t="s">
        <v>596</v>
      </c>
      <c r="E127" s="16" t="s">
        <v>2</v>
      </c>
      <c r="F127" s="82" t="s">
        <v>597</v>
      </c>
      <c r="G127" s="16" t="s">
        <v>504</v>
      </c>
      <c r="H127" s="16" t="s">
        <v>577</v>
      </c>
      <c r="J127" s="6"/>
      <c r="K127" s="6"/>
      <c r="L127" s="6"/>
      <c r="M127" s="6"/>
      <c r="N127" s="6"/>
      <c r="O127" s="6"/>
      <c r="P127" s="6"/>
      <c r="Q127" s="6"/>
      <c r="R127" s="6"/>
      <c r="S127" s="6"/>
      <c r="T127" s="6"/>
      <c r="U127" s="6"/>
      <c r="V127" s="6"/>
      <c r="W127" s="6"/>
      <c r="X127" s="6"/>
      <c r="Y127" s="6"/>
      <c r="Z127" s="6"/>
    </row>
    <row r="128">
      <c r="A128" s="16" t="s">
        <v>598</v>
      </c>
      <c r="B128" s="81">
        <v>2021.0</v>
      </c>
      <c r="C128" s="16" t="s">
        <v>579</v>
      </c>
      <c r="D128" s="16" t="s">
        <v>599</v>
      </c>
      <c r="E128" s="16" t="s">
        <v>187</v>
      </c>
      <c r="F128" s="82" t="s">
        <v>600</v>
      </c>
      <c r="G128" s="16" t="s">
        <v>504</v>
      </c>
      <c r="H128" s="16" t="s">
        <v>577</v>
      </c>
      <c r="J128" s="6"/>
      <c r="K128" s="6"/>
      <c r="L128" s="6"/>
      <c r="M128" s="6"/>
      <c r="N128" s="6"/>
      <c r="O128" s="6"/>
      <c r="P128" s="6"/>
      <c r="Q128" s="6"/>
      <c r="R128" s="6"/>
      <c r="S128" s="6"/>
      <c r="T128" s="6"/>
      <c r="U128" s="6"/>
      <c r="V128" s="6"/>
      <c r="W128" s="6"/>
      <c r="X128" s="6"/>
      <c r="Y128" s="6"/>
      <c r="Z128" s="6"/>
    </row>
    <row r="129">
      <c r="A129" s="16" t="s">
        <v>601</v>
      </c>
      <c r="B129" s="81">
        <v>2021.0</v>
      </c>
      <c r="C129" s="16" t="s">
        <v>602</v>
      </c>
      <c r="D129" s="16" t="s">
        <v>603</v>
      </c>
      <c r="E129" s="16" t="s">
        <v>46</v>
      </c>
      <c r="F129" s="82" t="s">
        <v>604</v>
      </c>
      <c r="G129" s="16" t="s">
        <v>504</v>
      </c>
      <c r="H129" s="16" t="s">
        <v>577</v>
      </c>
      <c r="J129" s="6"/>
      <c r="K129" s="6"/>
      <c r="L129" s="6"/>
      <c r="M129" s="6"/>
      <c r="N129" s="6"/>
      <c r="O129" s="6"/>
      <c r="P129" s="6"/>
      <c r="Q129" s="6"/>
      <c r="R129" s="6"/>
      <c r="S129" s="6"/>
      <c r="T129" s="6"/>
      <c r="U129" s="6"/>
      <c r="V129" s="6"/>
      <c r="W129" s="6"/>
      <c r="X129" s="6"/>
      <c r="Y129" s="6"/>
      <c r="Z129" s="6"/>
    </row>
    <row r="130">
      <c r="A130" s="16" t="s">
        <v>605</v>
      </c>
      <c r="B130" s="81">
        <v>2014.0</v>
      </c>
      <c r="C130" s="16" t="s">
        <v>606</v>
      </c>
      <c r="D130" s="16" t="s">
        <v>607</v>
      </c>
      <c r="E130" s="16" t="s">
        <v>115</v>
      </c>
      <c r="F130" s="82" t="s">
        <v>608</v>
      </c>
      <c r="G130" s="16" t="s">
        <v>504</v>
      </c>
      <c r="H130" s="16" t="s">
        <v>577</v>
      </c>
      <c r="J130" s="6"/>
      <c r="K130" s="6"/>
      <c r="L130" s="6"/>
      <c r="M130" s="6"/>
      <c r="N130" s="6"/>
      <c r="O130" s="6"/>
      <c r="P130" s="6"/>
      <c r="Q130" s="6"/>
      <c r="R130" s="6"/>
      <c r="S130" s="6"/>
      <c r="T130" s="6"/>
      <c r="U130" s="6"/>
      <c r="V130" s="6"/>
      <c r="W130" s="6"/>
      <c r="X130" s="6"/>
      <c r="Y130" s="6"/>
      <c r="Z130" s="6"/>
    </row>
    <row r="131">
      <c r="A131" s="16" t="s">
        <v>609</v>
      </c>
      <c r="B131" s="81">
        <v>2019.0</v>
      </c>
      <c r="C131" s="16" t="s">
        <v>610</v>
      </c>
      <c r="D131" s="16" t="s">
        <v>611</v>
      </c>
      <c r="E131" s="16" t="s">
        <v>83</v>
      </c>
      <c r="F131" s="82" t="s">
        <v>612</v>
      </c>
      <c r="G131" s="16" t="s">
        <v>495</v>
      </c>
      <c r="H131" s="16" t="s">
        <v>577</v>
      </c>
      <c r="J131" s="6"/>
      <c r="K131" s="6"/>
      <c r="L131" s="6"/>
      <c r="M131" s="6"/>
      <c r="N131" s="6"/>
      <c r="O131" s="6"/>
      <c r="P131" s="6"/>
      <c r="Q131" s="6"/>
      <c r="R131" s="6"/>
      <c r="S131" s="6"/>
      <c r="T131" s="6"/>
      <c r="U131" s="6"/>
      <c r="V131" s="6"/>
      <c r="W131" s="6"/>
      <c r="X131" s="6"/>
      <c r="Y131" s="6"/>
      <c r="Z131" s="6"/>
    </row>
    <row r="132">
      <c r="A132" s="52" t="s">
        <v>613</v>
      </c>
      <c r="B132" s="83">
        <v>2024.0</v>
      </c>
      <c r="C132" s="48" t="s">
        <v>614</v>
      </c>
      <c r="D132" s="48" t="s">
        <v>615</v>
      </c>
      <c r="E132" s="48" t="s">
        <v>616</v>
      </c>
      <c r="F132" s="84" t="s">
        <v>617</v>
      </c>
      <c r="G132" s="52" t="s">
        <v>198</v>
      </c>
      <c r="H132" s="5" t="s">
        <v>435</v>
      </c>
      <c r="I132" s="6"/>
      <c r="J132" s="6"/>
      <c r="K132" s="6"/>
      <c r="L132" s="6"/>
      <c r="M132" s="6"/>
      <c r="N132" s="6"/>
      <c r="O132" s="6"/>
      <c r="P132" s="6"/>
      <c r="Q132" s="6"/>
      <c r="R132" s="6"/>
      <c r="S132" s="6"/>
      <c r="T132" s="6"/>
      <c r="U132" s="6"/>
      <c r="V132" s="6"/>
      <c r="W132" s="6"/>
      <c r="X132" s="6"/>
      <c r="Y132" s="6"/>
      <c r="Z132" s="6"/>
    </row>
    <row r="133">
      <c r="A133" s="55"/>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55"/>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55"/>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55"/>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55"/>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55"/>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55"/>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55"/>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55"/>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55"/>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55"/>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55"/>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55"/>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55"/>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55"/>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55"/>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55"/>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55"/>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55"/>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55"/>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55"/>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55"/>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55"/>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55"/>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55"/>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55"/>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55"/>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55"/>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55"/>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55"/>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55"/>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55"/>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55"/>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55"/>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55"/>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55"/>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55"/>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55"/>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55"/>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55"/>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55"/>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55"/>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55"/>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55"/>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55"/>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55"/>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55"/>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55"/>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55"/>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55"/>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55"/>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55"/>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55"/>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55"/>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55"/>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55"/>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55"/>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55"/>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55"/>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55"/>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55"/>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55"/>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55"/>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55"/>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55"/>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55"/>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55"/>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55"/>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55"/>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55"/>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55"/>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55"/>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55"/>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55"/>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55"/>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55"/>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55"/>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55"/>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55"/>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55"/>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55"/>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55"/>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55"/>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55"/>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55"/>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55"/>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55"/>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55"/>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55"/>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55"/>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55"/>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55"/>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55"/>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55"/>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55"/>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55"/>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55"/>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55"/>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55"/>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55"/>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55"/>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55"/>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55"/>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55"/>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55"/>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55"/>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55"/>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55"/>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55"/>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55"/>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55"/>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55"/>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55"/>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55"/>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55"/>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55"/>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55"/>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55"/>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55"/>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55"/>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55"/>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55"/>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55"/>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55"/>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55"/>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55"/>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55"/>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55"/>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55"/>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55"/>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55"/>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55"/>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55"/>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55"/>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55"/>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55"/>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55"/>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55"/>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55"/>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55"/>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55"/>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55"/>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55"/>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55"/>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55"/>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55"/>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55"/>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55"/>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55"/>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55"/>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55"/>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55"/>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55"/>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55"/>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55"/>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55"/>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55"/>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55"/>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55"/>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55"/>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55"/>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55"/>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55"/>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55"/>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55"/>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55"/>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55"/>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55"/>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55"/>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55"/>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55"/>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55"/>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55"/>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55"/>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55"/>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55"/>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55"/>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55"/>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55"/>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55"/>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55"/>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55"/>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55"/>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55"/>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55"/>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55"/>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55"/>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55"/>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55"/>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55"/>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55"/>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55"/>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55"/>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55"/>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55"/>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55"/>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55"/>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55"/>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55"/>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55"/>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55"/>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55"/>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55"/>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55"/>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55"/>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55"/>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55"/>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55"/>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55"/>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55"/>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55"/>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55"/>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55"/>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55"/>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55"/>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55"/>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55"/>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55"/>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55"/>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55"/>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55"/>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55"/>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55"/>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55"/>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55"/>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55"/>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55"/>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55"/>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55"/>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55"/>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55"/>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55"/>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55"/>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55"/>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55"/>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55"/>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55"/>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55"/>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55"/>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55"/>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55"/>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55"/>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55"/>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55"/>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55"/>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55"/>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55"/>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55"/>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55"/>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55"/>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55"/>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55"/>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55"/>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55"/>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55"/>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55"/>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55"/>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55"/>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55"/>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55"/>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55"/>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55"/>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55"/>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55"/>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55"/>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55"/>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55"/>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55"/>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55"/>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55"/>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55"/>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55"/>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55"/>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55"/>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55"/>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55"/>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55"/>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55"/>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55"/>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55"/>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55"/>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55"/>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55"/>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55"/>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55"/>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55"/>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55"/>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55"/>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55"/>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55"/>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55"/>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55"/>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55"/>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55"/>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55"/>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55"/>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55"/>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55"/>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55"/>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55"/>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55"/>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55"/>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55"/>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55"/>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55"/>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55"/>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55"/>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55"/>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55"/>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55"/>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55"/>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55"/>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55"/>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55"/>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55"/>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55"/>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55"/>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55"/>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55"/>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55"/>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55"/>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55"/>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55"/>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55"/>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55"/>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55"/>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55"/>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55"/>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55"/>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55"/>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55"/>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55"/>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55"/>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55"/>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55"/>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55"/>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55"/>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55"/>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55"/>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55"/>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55"/>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55"/>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55"/>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55"/>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55"/>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55"/>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55"/>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55"/>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55"/>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55"/>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55"/>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55"/>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55"/>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55"/>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55"/>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55"/>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55"/>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55"/>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55"/>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55"/>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55"/>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55"/>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55"/>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55"/>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55"/>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55"/>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55"/>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55"/>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55"/>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55"/>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55"/>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55"/>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55"/>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55"/>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55"/>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55"/>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55"/>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55"/>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55"/>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55"/>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55"/>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55"/>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55"/>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55"/>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55"/>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55"/>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55"/>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55"/>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55"/>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55"/>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55"/>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55"/>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55"/>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55"/>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55"/>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55"/>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55"/>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55"/>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55"/>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55"/>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55"/>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55"/>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55"/>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55"/>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55"/>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55"/>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55"/>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55"/>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55"/>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55"/>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55"/>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55"/>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55"/>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55"/>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55"/>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55"/>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55"/>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55"/>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55"/>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55"/>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55"/>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55"/>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55"/>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55"/>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55"/>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55"/>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55"/>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55"/>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55"/>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55"/>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55"/>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55"/>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55"/>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55"/>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55"/>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55"/>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55"/>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55"/>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55"/>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55"/>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55"/>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55"/>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55"/>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55"/>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55"/>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55"/>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55"/>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55"/>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55"/>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55"/>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55"/>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55"/>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55"/>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55"/>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55"/>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55"/>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55"/>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55"/>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55"/>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55"/>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55"/>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55"/>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55"/>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55"/>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55"/>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55"/>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55"/>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55"/>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55"/>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55"/>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55"/>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55"/>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55"/>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55"/>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55"/>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55"/>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55"/>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55"/>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55"/>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55"/>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55"/>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55"/>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55"/>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55"/>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55"/>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55"/>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55"/>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55"/>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55"/>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55"/>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55"/>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55"/>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55"/>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55"/>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55"/>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55"/>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55"/>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55"/>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55"/>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55"/>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55"/>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55"/>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55"/>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55"/>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55"/>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55"/>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55"/>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55"/>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55"/>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55"/>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55"/>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55"/>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55"/>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55"/>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55"/>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55"/>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55"/>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55"/>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55"/>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55"/>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55"/>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55"/>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55"/>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55"/>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55"/>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55"/>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55"/>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55"/>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55"/>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55"/>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55"/>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55"/>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55"/>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55"/>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55"/>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55"/>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55"/>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55"/>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55"/>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55"/>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55"/>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55"/>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55"/>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55"/>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55"/>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55"/>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55"/>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55"/>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55"/>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55"/>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55"/>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55"/>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55"/>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55"/>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55"/>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55"/>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55"/>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55"/>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55"/>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55"/>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55"/>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55"/>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55"/>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55"/>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55"/>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55"/>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55"/>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55"/>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55"/>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55"/>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55"/>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55"/>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55"/>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55"/>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55"/>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55"/>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55"/>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55"/>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55"/>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55"/>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55"/>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55"/>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55"/>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55"/>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55"/>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55"/>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55"/>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55"/>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55"/>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55"/>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55"/>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55"/>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55"/>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55"/>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55"/>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55"/>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55"/>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55"/>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55"/>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55"/>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55"/>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55"/>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55"/>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55"/>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55"/>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55"/>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55"/>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55"/>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55"/>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55"/>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55"/>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55"/>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55"/>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55"/>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55"/>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55"/>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55"/>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55"/>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55"/>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55"/>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55"/>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55"/>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55"/>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55"/>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55"/>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55"/>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55"/>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55"/>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55"/>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55"/>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55"/>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55"/>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55"/>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55"/>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55"/>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55"/>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55"/>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55"/>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55"/>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55"/>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55"/>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55"/>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55"/>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55"/>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55"/>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55"/>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55"/>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55"/>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55"/>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55"/>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55"/>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55"/>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55"/>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55"/>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55"/>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55"/>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55"/>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55"/>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55"/>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55"/>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55"/>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55"/>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55"/>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55"/>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55"/>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55"/>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55"/>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55"/>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55"/>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55"/>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55"/>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55"/>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55"/>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55"/>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55"/>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55"/>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55"/>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55"/>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55"/>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55"/>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55"/>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55"/>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55"/>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55"/>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55"/>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55"/>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55"/>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55"/>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55"/>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55"/>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55"/>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55"/>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55"/>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55"/>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55"/>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55"/>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55"/>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55"/>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55"/>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55"/>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55"/>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55"/>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55"/>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55"/>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55"/>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55"/>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55"/>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55"/>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55"/>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55"/>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55"/>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55"/>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55"/>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55"/>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55"/>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55"/>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55"/>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55"/>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55"/>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55"/>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55"/>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55"/>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55"/>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55"/>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55"/>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55"/>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55"/>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55"/>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55"/>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55"/>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55"/>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55"/>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55"/>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55"/>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55"/>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55"/>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55"/>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55"/>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55"/>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55"/>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55"/>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55"/>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55"/>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55"/>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55"/>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55"/>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55"/>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55"/>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55"/>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55"/>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55"/>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55"/>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55"/>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55"/>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55"/>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55"/>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55"/>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55"/>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55"/>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55"/>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55"/>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55"/>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55"/>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55"/>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55"/>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55"/>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55"/>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55"/>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55"/>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55"/>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55"/>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55"/>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55"/>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55"/>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55"/>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55"/>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55"/>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55"/>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55"/>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55"/>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55"/>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55"/>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55"/>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55"/>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55"/>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55"/>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55"/>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55"/>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55"/>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55"/>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55"/>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55"/>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55"/>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55"/>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55"/>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55"/>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55"/>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55"/>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55"/>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55"/>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55"/>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55"/>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55"/>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55"/>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55"/>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55"/>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55"/>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55"/>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55"/>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55"/>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55"/>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55"/>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55"/>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55"/>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55"/>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55"/>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55"/>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55"/>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55"/>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55"/>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55"/>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55"/>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55"/>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55"/>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55"/>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55"/>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55"/>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55"/>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55"/>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55"/>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55"/>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55"/>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55"/>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55"/>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55"/>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55"/>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55"/>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55"/>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55"/>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55"/>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55"/>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55"/>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55"/>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55"/>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55"/>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55"/>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55"/>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55"/>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55"/>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55"/>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55"/>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55"/>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55"/>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55"/>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55"/>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55"/>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55"/>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55"/>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55"/>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55"/>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55"/>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55"/>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55"/>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55"/>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55"/>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sheetData>
  <autoFilter ref="$E$1:$E$997"/>
  <mergeCells count="30">
    <mergeCell ref="H102:I102"/>
    <mergeCell ref="H103:I103"/>
    <mergeCell ref="H104:I104"/>
    <mergeCell ref="H105:I105"/>
    <mergeCell ref="H106:I106"/>
    <mergeCell ref="H107:I107"/>
    <mergeCell ref="H108:I108"/>
    <mergeCell ref="H109:I109"/>
    <mergeCell ref="H110:I110"/>
    <mergeCell ref="H111:I111"/>
    <mergeCell ref="H112:I112"/>
    <mergeCell ref="H113:I113"/>
    <mergeCell ref="H114:I114"/>
    <mergeCell ref="H115:I115"/>
    <mergeCell ref="H116:I116"/>
    <mergeCell ref="H117:I117"/>
    <mergeCell ref="H118:I118"/>
    <mergeCell ref="H119:I119"/>
    <mergeCell ref="H120:I120"/>
    <mergeCell ref="H121:I121"/>
    <mergeCell ref="H122:I122"/>
    <mergeCell ref="H130:I130"/>
    <mergeCell ref="H131:I131"/>
    <mergeCell ref="H123:I123"/>
    <mergeCell ref="H124:I124"/>
    <mergeCell ref="H125:I125"/>
    <mergeCell ref="H126:I126"/>
    <mergeCell ref="H127:I127"/>
    <mergeCell ref="H128:I128"/>
    <mergeCell ref="H129:I129"/>
  </mergeCells>
  <hyperlinks>
    <hyperlink r:id="rId1" ref="C2"/>
    <hyperlink r:id="rId2" ref="D2"/>
    <hyperlink r:id="rId3" ref="F2"/>
    <hyperlink r:id="rId4" ref="F3"/>
    <hyperlink r:id="rId5" ref="F4"/>
    <hyperlink r:id="rId6" ref="F5"/>
    <hyperlink r:id="rId7" ref="F6"/>
    <hyperlink r:id="rId8" ref="F7"/>
    <hyperlink r:id="rId9" ref="F8"/>
    <hyperlink r:id="rId10" ref="F9"/>
    <hyperlink r:id="rId11" ref="F10"/>
    <hyperlink r:id="rId12" ref="F11"/>
    <hyperlink r:id="rId13" ref="F12"/>
    <hyperlink r:id="rId14" ref="F13"/>
    <hyperlink r:id="rId15" ref="F14"/>
    <hyperlink r:id="rId16" ref="F16"/>
    <hyperlink r:id="rId17" ref="F17"/>
    <hyperlink r:id="rId18" ref="F18"/>
    <hyperlink r:id="rId19" ref="F20"/>
    <hyperlink r:id="rId20" ref="F21"/>
    <hyperlink r:id="rId21" ref="F22"/>
    <hyperlink r:id="rId22" ref="F23"/>
    <hyperlink r:id="rId23" ref="F24"/>
    <hyperlink r:id="rId24" ref="F25"/>
    <hyperlink r:id="rId25" ref="F26"/>
    <hyperlink r:id="rId26" ref="F28"/>
    <hyperlink r:id="rId27" ref="F29"/>
    <hyperlink r:id="rId28" ref="F31"/>
    <hyperlink r:id="rId29" ref="F32"/>
    <hyperlink r:id="rId30" ref="F35"/>
    <hyperlink r:id="rId31" ref="F36"/>
    <hyperlink r:id="rId32" ref="F37"/>
    <hyperlink r:id="rId33" ref="F38"/>
    <hyperlink r:id="rId34" ref="F40"/>
    <hyperlink r:id="rId35" location="page=59" ref="F41"/>
    <hyperlink r:id="rId36" ref="F42"/>
    <hyperlink r:id="rId37" ref="F43"/>
    <hyperlink r:id="rId38" ref="F44"/>
    <hyperlink r:id="rId39" ref="F45"/>
    <hyperlink r:id="rId40" ref="F46"/>
    <hyperlink r:id="rId41" ref="F47"/>
    <hyperlink r:id="rId42" ref="F48"/>
    <hyperlink r:id="rId43" ref="F49"/>
    <hyperlink r:id="rId44" ref="F50"/>
    <hyperlink r:id="rId45" ref="F51"/>
    <hyperlink r:id="rId46" ref="F52"/>
    <hyperlink r:id="rId47" ref="F53"/>
    <hyperlink r:id="rId48" ref="F54"/>
    <hyperlink r:id="rId49" ref="F55"/>
    <hyperlink r:id="rId50" ref="F56"/>
    <hyperlink r:id="rId51" ref="F57"/>
    <hyperlink r:id="rId52" ref="F58"/>
    <hyperlink r:id="rId53" ref="F59"/>
    <hyperlink r:id="rId54" ref="F60"/>
    <hyperlink r:id="rId55" ref="F61"/>
    <hyperlink r:id="rId56" ref="F62"/>
    <hyperlink r:id="rId57" ref="F63"/>
    <hyperlink r:id="rId58" ref="F65"/>
    <hyperlink r:id="rId59" ref="F66"/>
    <hyperlink r:id="rId60" ref="F67"/>
    <hyperlink r:id="rId61" ref="F68"/>
    <hyperlink r:id="rId62" ref="F69"/>
    <hyperlink r:id="rId63" ref="F70"/>
    <hyperlink r:id="rId64" ref="F71"/>
    <hyperlink r:id="rId65" ref="F72"/>
    <hyperlink r:id="rId66" ref="F73"/>
    <hyperlink r:id="rId67" ref="F74"/>
    <hyperlink r:id="rId68" ref="F75"/>
    <hyperlink r:id="rId69" ref="F76"/>
    <hyperlink r:id="rId70" ref="F77"/>
    <hyperlink r:id="rId71" ref="F78"/>
    <hyperlink r:id="rId72" ref="F79"/>
    <hyperlink r:id="rId73" ref="F80"/>
    <hyperlink r:id="rId74" ref="F81"/>
    <hyperlink r:id="rId75" ref="F82"/>
    <hyperlink r:id="rId76" ref="F83"/>
    <hyperlink r:id="rId77" ref="F84"/>
    <hyperlink r:id="rId78" ref="F85"/>
    <hyperlink r:id="rId79" ref="F86"/>
    <hyperlink r:id="rId80" ref="F87"/>
    <hyperlink r:id="rId81" ref="F88"/>
    <hyperlink r:id="rId82" ref="F89"/>
    <hyperlink r:id="rId83" ref="F90"/>
    <hyperlink r:id="rId84" ref="F91"/>
    <hyperlink r:id="rId85" ref="F92"/>
    <hyperlink r:id="rId86" ref="F93"/>
    <hyperlink r:id="rId87" ref="F94"/>
    <hyperlink r:id="rId88" ref="F95"/>
    <hyperlink r:id="rId89" ref="F96"/>
    <hyperlink r:id="rId90" ref="F97"/>
    <hyperlink r:id="rId91" ref="F98"/>
    <hyperlink r:id="rId92" ref="F99"/>
    <hyperlink r:id="rId93" ref="F100"/>
    <hyperlink r:id="rId94" ref="F101"/>
    <hyperlink r:id="rId95" ref="F102"/>
    <hyperlink r:id="rId96" ref="F103"/>
    <hyperlink r:id="rId97" ref="F104"/>
    <hyperlink r:id="rId98" ref="F105"/>
    <hyperlink r:id="rId99" location="page=182" ref="F106"/>
    <hyperlink r:id="rId100" ref="F107"/>
    <hyperlink r:id="rId101" ref="F108"/>
    <hyperlink r:id="rId102" ref="F109"/>
    <hyperlink r:id="rId103" ref="F110"/>
    <hyperlink r:id="rId104" ref="F111"/>
    <hyperlink r:id="rId105" ref="F112"/>
    <hyperlink r:id="rId106" ref="F113"/>
    <hyperlink r:id="rId107" ref="F114"/>
    <hyperlink r:id="rId108" ref="F115"/>
    <hyperlink r:id="rId109" ref="F116"/>
    <hyperlink r:id="rId110" ref="F117"/>
    <hyperlink r:id="rId111" ref="F118"/>
    <hyperlink r:id="rId112" ref="F119"/>
    <hyperlink r:id="rId113" ref="F120"/>
    <hyperlink r:id="rId114" ref="F121"/>
    <hyperlink r:id="rId115" ref="F122"/>
    <hyperlink r:id="rId116" ref="F123"/>
    <hyperlink r:id="rId117" ref="F124"/>
    <hyperlink r:id="rId118" ref="F125"/>
    <hyperlink r:id="rId119" ref="F126"/>
    <hyperlink r:id="rId120" ref="F127"/>
    <hyperlink r:id="rId121" ref="F128"/>
    <hyperlink r:id="rId122" ref="F129"/>
    <hyperlink r:id="rId123" ref="F130"/>
    <hyperlink r:id="rId124" ref="F131"/>
    <hyperlink r:id="rId125" ref="F132"/>
  </hyperlinks>
  <drawing r:id="rId12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75"/>
    <col customWidth="1" min="2" max="2" width="17.25"/>
    <col customWidth="1" min="3" max="3" width="27.88"/>
    <col customWidth="1" min="4" max="5" width="17.13"/>
    <col customWidth="1" min="6" max="6" width="19.63"/>
    <col customWidth="1" min="7" max="7" width="14.88"/>
    <col customWidth="1" min="8" max="8" width="28.5"/>
    <col customWidth="1" min="9" max="9" width="19.25"/>
    <col customWidth="1" min="10" max="10" width="15.38"/>
    <col customWidth="1" min="11" max="11" width="19.88"/>
    <col customWidth="1" min="12" max="12" width="27.38"/>
    <col customWidth="1" min="14" max="14" width="17.13"/>
  </cols>
  <sheetData>
    <row r="1">
      <c r="A1" s="52" t="s">
        <v>18</v>
      </c>
      <c r="B1" s="52" t="s">
        <v>19</v>
      </c>
      <c r="C1" s="52" t="s">
        <v>20</v>
      </c>
      <c r="D1" s="52" t="s">
        <v>21</v>
      </c>
      <c r="E1" s="52" t="s">
        <v>22</v>
      </c>
      <c r="F1" s="52" t="s">
        <v>23</v>
      </c>
      <c r="G1" s="52" t="s">
        <v>24</v>
      </c>
      <c r="H1" s="85" t="s">
        <v>618</v>
      </c>
      <c r="I1" s="85" t="s">
        <v>619</v>
      </c>
      <c r="J1" s="85" t="s">
        <v>620</v>
      </c>
      <c r="K1" s="85" t="s">
        <v>621</v>
      </c>
      <c r="L1" s="85" t="s">
        <v>622</v>
      </c>
      <c r="M1" s="85" t="s">
        <v>623</v>
      </c>
      <c r="N1" s="85" t="s">
        <v>624</v>
      </c>
      <c r="O1" s="52" t="s">
        <v>625</v>
      </c>
      <c r="P1" s="52" t="s">
        <v>626</v>
      </c>
      <c r="Q1" s="77"/>
      <c r="R1" s="77"/>
      <c r="S1" s="77"/>
      <c r="T1" s="77"/>
      <c r="U1" s="77"/>
      <c r="V1" s="77"/>
      <c r="W1" s="77"/>
      <c r="X1" s="77"/>
      <c r="Y1" s="77"/>
      <c r="Z1" s="77"/>
    </row>
    <row r="2">
      <c r="A2" s="86" t="s">
        <v>26</v>
      </c>
      <c r="B2" s="86">
        <v>2019.0</v>
      </c>
      <c r="C2" s="87" t="s">
        <v>627</v>
      </c>
      <c r="D2" s="88" t="s">
        <v>628</v>
      </c>
      <c r="E2" s="86" t="s">
        <v>29</v>
      </c>
      <c r="F2" s="89" t="s">
        <v>30</v>
      </c>
      <c r="G2" s="90" t="s">
        <v>31</v>
      </c>
      <c r="H2" s="91">
        <v>1.0</v>
      </c>
      <c r="I2" s="91">
        <v>0.0</v>
      </c>
      <c r="J2" s="91">
        <v>0.0</v>
      </c>
      <c r="K2" s="91">
        <v>1.0</v>
      </c>
      <c r="L2" s="91">
        <v>0.0</v>
      </c>
      <c r="M2" s="91">
        <v>0.0</v>
      </c>
      <c r="N2" s="91">
        <v>0.0</v>
      </c>
      <c r="O2" s="92" t="str">
        <f t="shared" ref="O2:O5" si="1">IF(OR(H2=1, I2=1, J2=1, K2=1, L2=1, M2=1, N2=1), "1", "")
</f>
        <v>1</v>
      </c>
      <c r="P2" s="91">
        <v>0.0</v>
      </c>
      <c r="Q2" s="77"/>
      <c r="R2" s="77"/>
      <c r="S2" s="77"/>
      <c r="T2" s="77"/>
      <c r="U2" s="77"/>
      <c r="V2" s="77"/>
      <c r="W2" s="77"/>
      <c r="X2" s="77"/>
      <c r="Y2" s="77"/>
      <c r="Z2" s="77"/>
    </row>
    <row r="3">
      <c r="A3" s="86" t="s">
        <v>33</v>
      </c>
      <c r="B3" s="86">
        <v>2007.0</v>
      </c>
      <c r="C3" s="86" t="s">
        <v>34</v>
      </c>
      <c r="D3" s="86" t="s">
        <v>35</v>
      </c>
      <c r="E3" s="86" t="s">
        <v>629</v>
      </c>
      <c r="F3" s="89" t="s">
        <v>36</v>
      </c>
      <c r="G3" s="90" t="s">
        <v>37</v>
      </c>
      <c r="H3" s="91">
        <v>1.0</v>
      </c>
      <c r="I3" s="91">
        <v>0.0</v>
      </c>
      <c r="J3" s="91">
        <v>0.0</v>
      </c>
      <c r="K3" s="91">
        <v>1.0</v>
      </c>
      <c r="L3" s="91">
        <v>0.0</v>
      </c>
      <c r="M3" s="91">
        <v>0.0</v>
      </c>
      <c r="N3" s="91">
        <v>0.0</v>
      </c>
      <c r="O3" s="92" t="str">
        <f t="shared" si="1"/>
        <v>1</v>
      </c>
      <c r="P3" s="91">
        <v>0.0</v>
      </c>
      <c r="Q3" s="77"/>
      <c r="R3" s="77"/>
      <c r="S3" s="77"/>
      <c r="T3" s="77"/>
      <c r="U3" s="77"/>
      <c r="V3" s="77"/>
      <c r="W3" s="77"/>
      <c r="X3" s="77"/>
      <c r="Y3" s="77"/>
      <c r="Z3" s="77"/>
    </row>
    <row r="4">
      <c r="A4" s="86" t="s">
        <v>38</v>
      </c>
      <c r="B4" s="86">
        <v>2025.0</v>
      </c>
      <c r="C4" s="86" t="s">
        <v>39</v>
      </c>
      <c r="D4" s="86" t="s">
        <v>40</v>
      </c>
      <c r="E4" s="86" t="s">
        <v>41</v>
      </c>
      <c r="F4" s="89" t="s">
        <v>42</v>
      </c>
      <c r="G4" s="90" t="s">
        <v>37</v>
      </c>
      <c r="H4" s="91">
        <v>1.0</v>
      </c>
      <c r="I4" s="91">
        <v>0.0</v>
      </c>
      <c r="J4" s="91">
        <v>1.0</v>
      </c>
      <c r="K4" s="91">
        <v>1.0</v>
      </c>
      <c r="L4" s="91">
        <v>0.0</v>
      </c>
      <c r="M4" s="91">
        <v>0.0</v>
      </c>
      <c r="N4" s="91">
        <v>0.0</v>
      </c>
      <c r="O4" s="92" t="str">
        <f t="shared" si="1"/>
        <v>1</v>
      </c>
      <c r="P4" s="91">
        <v>0.0</v>
      </c>
      <c r="Q4" s="77"/>
      <c r="R4" s="77"/>
      <c r="S4" s="77"/>
      <c r="T4" s="77"/>
      <c r="U4" s="77"/>
      <c r="V4" s="77"/>
      <c r="W4" s="77"/>
      <c r="X4" s="77"/>
      <c r="Y4" s="77"/>
      <c r="Z4" s="77"/>
    </row>
    <row r="5">
      <c r="A5" s="86" t="s">
        <v>43</v>
      </c>
      <c r="B5" s="86">
        <v>2024.0</v>
      </c>
      <c r="C5" s="86" t="s">
        <v>44</v>
      </c>
      <c r="D5" s="86" t="s">
        <v>45</v>
      </c>
      <c r="E5" s="86" t="s">
        <v>46</v>
      </c>
      <c r="F5" s="89" t="s">
        <v>47</v>
      </c>
      <c r="G5" s="90" t="s">
        <v>37</v>
      </c>
      <c r="H5" s="91">
        <v>1.0</v>
      </c>
      <c r="I5" s="91">
        <v>0.0</v>
      </c>
      <c r="J5" s="91">
        <v>1.0</v>
      </c>
      <c r="K5" s="91">
        <v>0.0</v>
      </c>
      <c r="L5" s="91">
        <v>1.0</v>
      </c>
      <c r="M5" s="91">
        <v>1.0</v>
      </c>
      <c r="N5" s="91">
        <v>0.0</v>
      </c>
      <c r="O5" s="92" t="str">
        <f t="shared" si="1"/>
        <v>1</v>
      </c>
      <c r="P5" s="91">
        <v>0.0</v>
      </c>
      <c r="Q5" s="77"/>
      <c r="R5" s="77"/>
      <c r="S5" s="77"/>
      <c r="T5" s="77"/>
      <c r="U5" s="77"/>
      <c r="V5" s="77"/>
      <c r="W5" s="77"/>
      <c r="X5" s="77"/>
      <c r="Y5" s="77"/>
      <c r="Z5" s="77"/>
    </row>
    <row r="6">
      <c r="A6" s="8" t="s">
        <v>48</v>
      </c>
      <c r="B6" s="70">
        <v>2017.0</v>
      </c>
      <c r="C6" s="70" t="s">
        <v>49</v>
      </c>
      <c r="D6" s="8" t="s">
        <v>50</v>
      </c>
      <c r="E6" s="70" t="s">
        <v>51</v>
      </c>
      <c r="F6" s="12" t="s">
        <v>52</v>
      </c>
      <c r="G6" s="52" t="s">
        <v>37</v>
      </c>
      <c r="H6" s="91">
        <v>0.0</v>
      </c>
      <c r="I6" s="91">
        <v>0.0</v>
      </c>
      <c r="J6" s="91">
        <v>0.0</v>
      </c>
      <c r="K6" s="91">
        <v>0.0</v>
      </c>
      <c r="L6" s="91">
        <v>0.0</v>
      </c>
      <c r="M6" s="91">
        <v>0.0</v>
      </c>
      <c r="N6" s="91">
        <v>0.0</v>
      </c>
      <c r="O6" s="91">
        <v>0.0</v>
      </c>
      <c r="P6" s="92" t="str">
        <f>IF(AND(H6=0, I6=0, J6=0, K6=0, L6=0, M6=0, N6=0), "1", "")
</f>
        <v>1</v>
      </c>
      <c r="Q6" s="77"/>
      <c r="R6" s="77"/>
      <c r="S6" s="77"/>
      <c r="T6" s="77"/>
      <c r="U6" s="77"/>
      <c r="V6" s="77"/>
      <c r="W6" s="77"/>
      <c r="X6" s="77"/>
      <c r="Y6" s="77"/>
      <c r="Z6" s="77"/>
    </row>
    <row r="7">
      <c r="A7" s="86" t="s">
        <v>53</v>
      </c>
      <c r="B7" s="86">
        <v>2019.0</v>
      </c>
      <c r="C7" s="86" t="s">
        <v>54</v>
      </c>
      <c r="D7" s="86" t="s">
        <v>55</v>
      </c>
      <c r="E7" s="86" t="s">
        <v>51</v>
      </c>
      <c r="F7" s="89" t="s">
        <v>56</v>
      </c>
      <c r="G7" s="90" t="s">
        <v>37</v>
      </c>
      <c r="H7" s="91">
        <v>1.0</v>
      </c>
      <c r="I7" s="91">
        <v>0.0</v>
      </c>
      <c r="J7" s="91">
        <v>0.0</v>
      </c>
      <c r="K7" s="91">
        <v>1.0</v>
      </c>
      <c r="L7" s="91">
        <v>0.0</v>
      </c>
      <c r="M7" s="91">
        <v>0.0</v>
      </c>
      <c r="N7" s="91">
        <v>0.0</v>
      </c>
      <c r="O7" s="92" t="str">
        <f t="shared" ref="O7:O9" si="2">IF(OR(H7=1, I7=1, J7=1, K7=1, L7=1, M7=1, N7=1), "1", "")
</f>
        <v>1</v>
      </c>
      <c r="P7" s="91">
        <v>0.0</v>
      </c>
      <c r="Q7" s="77"/>
      <c r="R7" s="77"/>
      <c r="S7" s="77"/>
      <c r="T7" s="77"/>
      <c r="U7" s="77"/>
      <c r="V7" s="77"/>
      <c r="W7" s="77"/>
      <c r="X7" s="77"/>
      <c r="Y7" s="77"/>
      <c r="Z7" s="77"/>
    </row>
    <row r="8">
      <c r="A8" s="86" t="s">
        <v>57</v>
      </c>
      <c r="B8" s="86">
        <v>2008.0</v>
      </c>
      <c r="C8" s="86" t="s">
        <v>58</v>
      </c>
      <c r="D8" s="86" t="s">
        <v>59</v>
      </c>
      <c r="E8" s="86" t="s">
        <v>60</v>
      </c>
      <c r="F8" s="93" t="s">
        <v>61</v>
      </c>
      <c r="G8" s="90" t="s">
        <v>37</v>
      </c>
      <c r="H8" s="91">
        <v>1.0</v>
      </c>
      <c r="I8" s="91">
        <v>0.0</v>
      </c>
      <c r="J8" s="91">
        <v>0.0</v>
      </c>
      <c r="K8" s="91">
        <v>1.0</v>
      </c>
      <c r="L8" s="91">
        <v>0.0</v>
      </c>
      <c r="M8" s="91">
        <v>0.0</v>
      </c>
      <c r="N8" s="91">
        <v>0.0</v>
      </c>
      <c r="O8" s="92" t="str">
        <f t="shared" si="2"/>
        <v>1</v>
      </c>
      <c r="P8" s="91">
        <v>0.0</v>
      </c>
      <c r="Q8" s="77"/>
      <c r="R8" s="77"/>
      <c r="S8" s="77"/>
      <c r="T8" s="77"/>
      <c r="U8" s="77"/>
      <c r="V8" s="77"/>
      <c r="W8" s="77"/>
      <c r="X8" s="77"/>
      <c r="Y8" s="77"/>
      <c r="Z8" s="77"/>
    </row>
    <row r="9">
      <c r="A9" s="86" t="s">
        <v>62</v>
      </c>
      <c r="B9" s="86">
        <v>2021.0</v>
      </c>
      <c r="C9" s="86" t="s">
        <v>63</v>
      </c>
      <c r="D9" s="86" t="s">
        <v>64</v>
      </c>
      <c r="E9" s="86" t="s">
        <v>65</v>
      </c>
      <c r="F9" s="89" t="s">
        <v>66</v>
      </c>
      <c r="G9" s="90" t="s">
        <v>37</v>
      </c>
      <c r="H9" s="91">
        <v>1.0</v>
      </c>
      <c r="I9" s="91">
        <v>1.0</v>
      </c>
      <c r="J9" s="91">
        <v>0.0</v>
      </c>
      <c r="K9" s="91">
        <v>0.0</v>
      </c>
      <c r="L9" s="91">
        <v>0.0</v>
      </c>
      <c r="M9" s="91">
        <v>0.0</v>
      </c>
      <c r="N9" s="91">
        <v>1.0</v>
      </c>
      <c r="O9" s="92" t="str">
        <f t="shared" si="2"/>
        <v>1</v>
      </c>
      <c r="P9" s="91">
        <v>0.0</v>
      </c>
      <c r="Q9" s="77"/>
      <c r="R9" s="77"/>
      <c r="S9" s="77"/>
      <c r="T9" s="77"/>
      <c r="U9" s="77"/>
      <c r="V9" s="77"/>
      <c r="W9" s="77"/>
      <c r="X9" s="77"/>
      <c r="Y9" s="77"/>
      <c r="Z9" s="77"/>
    </row>
    <row r="10">
      <c r="A10" s="15" t="s">
        <v>67</v>
      </c>
      <c r="B10" s="70">
        <v>2001.0</v>
      </c>
      <c r="C10" s="15" t="s">
        <v>68</v>
      </c>
      <c r="D10" s="70" t="s">
        <v>69</v>
      </c>
      <c r="E10" s="70" t="s">
        <v>630</v>
      </c>
      <c r="F10" s="18" t="s">
        <v>631</v>
      </c>
      <c r="G10" s="52" t="s">
        <v>37</v>
      </c>
      <c r="H10" s="91">
        <v>0.0</v>
      </c>
      <c r="I10" s="91">
        <v>0.0</v>
      </c>
      <c r="J10" s="91">
        <v>0.0</v>
      </c>
      <c r="K10" s="91">
        <v>0.0</v>
      </c>
      <c r="L10" s="91">
        <v>0.0</v>
      </c>
      <c r="M10" s="91">
        <v>0.0</v>
      </c>
      <c r="N10" s="91">
        <v>0.0</v>
      </c>
      <c r="O10" s="91">
        <v>0.0</v>
      </c>
      <c r="P10" s="92" t="str">
        <f>IF(AND(H10=0, I10=0, J10=0, K10=0, L10=0, M10=0, N10=0), "1", "")
</f>
        <v>1</v>
      </c>
      <c r="Q10" s="77"/>
      <c r="R10" s="77"/>
      <c r="S10" s="77"/>
      <c r="T10" s="77"/>
      <c r="U10" s="77"/>
      <c r="V10" s="77"/>
      <c r="W10" s="77"/>
      <c r="X10" s="77"/>
      <c r="Y10" s="77"/>
      <c r="Z10" s="77"/>
    </row>
    <row r="11">
      <c r="A11" s="86" t="s">
        <v>632</v>
      </c>
      <c r="B11" s="86">
        <v>2019.0</v>
      </c>
      <c r="C11" s="86" t="s">
        <v>72</v>
      </c>
      <c r="D11" s="86" t="s">
        <v>73</v>
      </c>
      <c r="E11" s="86" t="s">
        <v>633</v>
      </c>
      <c r="F11" s="94" t="s">
        <v>74</v>
      </c>
      <c r="G11" s="90" t="s">
        <v>37</v>
      </c>
      <c r="H11" s="91">
        <v>1.0</v>
      </c>
      <c r="I11" s="91">
        <v>1.0</v>
      </c>
      <c r="J11" s="91">
        <v>0.0</v>
      </c>
      <c r="K11" s="91">
        <v>1.0</v>
      </c>
      <c r="L11" s="91">
        <v>0.0</v>
      </c>
      <c r="M11" s="91">
        <v>0.0</v>
      </c>
      <c r="N11" s="91">
        <v>1.0</v>
      </c>
      <c r="O11" s="92" t="str">
        <f t="shared" ref="O11:O19" si="3">IF(OR(H11=1, I11=1, J11=1, K11=1, L11=1, M11=1, N11=1), "1", "")
</f>
        <v>1</v>
      </c>
      <c r="P11" s="91">
        <v>0.0</v>
      </c>
      <c r="Q11" s="77"/>
      <c r="R11" s="77"/>
      <c r="S11" s="77"/>
      <c r="T11" s="77"/>
      <c r="U11" s="77"/>
      <c r="V11" s="77"/>
      <c r="W11" s="77"/>
      <c r="X11" s="77"/>
      <c r="Y11" s="77"/>
      <c r="Z11" s="77"/>
    </row>
    <row r="12">
      <c r="A12" s="86" t="s">
        <v>75</v>
      </c>
      <c r="B12" s="86">
        <v>2023.0</v>
      </c>
      <c r="C12" s="86" t="s">
        <v>76</v>
      </c>
      <c r="D12" s="86" t="s">
        <v>77</v>
      </c>
      <c r="E12" s="86" t="s">
        <v>634</v>
      </c>
      <c r="F12" s="89" t="s">
        <v>78</v>
      </c>
      <c r="G12" s="90" t="s">
        <v>37</v>
      </c>
      <c r="H12" s="91">
        <v>1.0</v>
      </c>
      <c r="I12" s="91">
        <v>0.0</v>
      </c>
      <c r="J12" s="91">
        <v>1.0</v>
      </c>
      <c r="K12" s="91">
        <v>0.0</v>
      </c>
      <c r="L12" s="91">
        <v>1.0</v>
      </c>
      <c r="M12" s="91">
        <v>0.0</v>
      </c>
      <c r="N12" s="91">
        <v>0.0</v>
      </c>
      <c r="O12" s="92" t="str">
        <f t="shared" si="3"/>
        <v>1</v>
      </c>
      <c r="P12" s="91">
        <v>0.0</v>
      </c>
      <c r="Q12" s="77"/>
      <c r="R12" s="77"/>
      <c r="S12" s="77"/>
      <c r="T12" s="77"/>
      <c r="U12" s="77"/>
      <c r="V12" s="77"/>
      <c r="W12" s="77"/>
      <c r="X12" s="77"/>
      <c r="Y12" s="77"/>
      <c r="Z12" s="77"/>
    </row>
    <row r="13">
      <c r="A13" s="86" t="s">
        <v>80</v>
      </c>
      <c r="B13" s="86">
        <v>2005.0</v>
      </c>
      <c r="C13" s="95" t="s">
        <v>81</v>
      </c>
      <c r="D13" s="86" t="s">
        <v>82</v>
      </c>
      <c r="E13" s="86" t="s">
        <v>157</v>
      </c>
      <c r="F13" s="89" t="s">
        <v>84</v>
      </c>
      <c r="G13" s="90" t="s">
        <v>37</v>
      </c>
      <c r="H13" s="91">
        <v>1.0</v>
      </c>
      <c r="I13" s="91">
        <v>0.0</v>
      </c>
      <c r="J13" s="91">
        <v>0.0</v>
      </c>
      <c r="K13" s="91">
        <v>1.0</v>
      </c>
      <c r="L13" s="91">
        <v>1.0</v>
      </c>
      <c r="M13" s="91">
        <v>0.0</v>
      </c>
      <c r="N13" s="91">
        <v>0.0</v>
      </c>
      <c r="O13" s="92" t="str">
        <f t="shared" si="3"/>
        <v>1</v>
      </c>
      <c r="P13" s="91">
        <v>0.0</v>
      </c>
      <c r="Q13" s="77"/>
      <c r="R13" s="77"/>
      <c r="S13" s="77"/>
      <c r="T13" s="77"/>
      <c r="U13" s="77"/>
      <c r="V13" s="77"/>
      <c r="W13" s="77"/>
      <c r="X13" s="77"/>
      <c r="Y13" s="77"/>
      <c r="Z13" s="77"/>
    </row>
    <row r="14">
      <c r="A14" s="86" t="s">
        <v>85</v>
      </c>
      <c r="B14" s="86">
        <v>2023.0</v>
      </c>
      <c r="C14" s="86" t="s">
        <v>86</v>
      </c>
      <c r="D14" s="96" t="s">
        <v>87</v>
      </c>
      <c r="E14" s="86" t="s">
        <v>630</v>
      </c>
      <c r="F14" s="89" t="s">
        <v>88</v>
      </c>
      <c r="G14" s="90" t="s">
        <v>37</v>
      </c>
      <c r="H14" s="91">
        <v>1.0</v>
      </c>
      <c r="I14" s="91">
        <v>1.0</v>
      </c>
      <c r="J14" s="91">
        <v>0.0</v>
      </c>
      <c r="K14" s="91">
        <v>0.0</v>
      </c>
      <c r="L14" s="91">
        <v>1.0</v>
      </c>
      <c r="M14" s="91">
        <v>1.0</v>
      </c>
      <c r="N14" s="91">
        <v>1.0</v>
      </c>
      <c r="O14" s="92" t="str">
        <f t="shared" si="3"/>
        <v>1</v>
      </c>
      <c r="P14" s="91">
        <v>0.0</v>
      </c>
      <c r="Q14" s="77"/>
      <c r="R14" s="77"/>
      <c r="S14" s="77"/>
      <c r="T14" s="77"/>
      <c r="U14" s="77"/>
      <c r="V14" s="77"/>
      <c r="W14" s="77"/>
      <c r="X14" s="77"/>
      <c r="Y14" s="77"/>
      <c r="Z14" s="77"/>
    </row>
    <row r="15">
      <c r="A15" s="86" t="s">
        <v>89</v>
      </c>
      <c r="B15" s="86">
        <v>2013.0</v>
      </c>
      <c r="C15" s="86" t="s">
        <v>90</v>
      </c>
      <c r="D15" s="86" t="s">
        <v>91</v>
      </c>
      <c r="E15" s="90" t="s">
        <v>635</v>
      </c>
      <c r="F15" s="97" t="s">
        <v>92</v>
      </c>
      <c r="G15" s="90" t="s">
        <v>37</v>
      </c>
      <c r="H15" s="91">
        <v>1.0</v>
      </c>
      <c r="I15" s="91">
        <v>1.0</v>
      </c>
      <c r="J15" s="91">
        <v>1.0</v>
      </c>
      <c r="K15" s="91">
        <v>0.0</v>
      </c>
      <c r="L15" s="91">
        <v>1.0</v>
      </c>
      <c r="M15" s="91">
        <v>0.0</v>
      </c>
      <c r="N15" s="91">
        <v>1.0</v>
      </c>
      <c r="O15" s="92" t="str">
        <f t="shared" si="3"/>
        <v>1</v>
      </c>
      <c r="P15" s="91">
        <v>0.0</v>
      </c>
      <c r="Q15" s="77"/>
      <c r="R15" s="77"/>
      <c r="S15" s="77"/>
      <c r="T15" s="77"/>
      <c r="U15" s="77"/>
      <c r="V15" s="77"/>
      <c r="W15" s="77"/>
      <c r="X15" s="77"/>
      <c r="Y15" s="77"/>
      <c r="Z15" s="77"/>
    </row>
    <row r="16">
      <c r="A16" s="98" t="s">
        <v>93</v>
      </c>
      <c r="B16" s="86">
        <v>2014.0</v>
      </c>
      <c r="C16" s="86" t="s">
        <v>94</v>
      </c>
      <c r="D16" s="86" t="s">
        <v>95</v>
      </c>
      <c r="E16" s="90" t="s">
        <v>96</v>
      </c>
      <c r="F16" s="89" t="s">
        <v>636</v>
      </c>
      <c r="G16" s="90" t="s">
        <v>37</v>
      </c>
      <c r="H16" s="92"/>
      <c r="I16" s="91">
        <v>0.0</v>
      </c>
      <c r="J16" s="91">
        <v>1.0</v>
      </c>
      <c r="K16" s="91">
        <v>0.0</v>
      </c>
      <c r="L16" s="91">
        <v>1.0</v>
      </c>
      <c r="M16" s="91">
        <v>0.0</v>
      </c>
      <c r="N16" s="91">
        <v>0.0</v>
      </c>
      <c r="O16" s="92" t="str">
        <f t="shared" si="3"/>
        <v>1</v>
      </c>
      <c r="P16" s="91">
        <v>0.0</v>
      </c>
      <c r="Q16" s="77"/>
      <c r="R16" s="77"/>
      <c r="S16" s="77"/>
      <c r="T16" s="77"/>
      <c r="U16" s="77"/>
      <c r="V16" s="77"/>
      <c r="W16" s="77"/>
      <c r="X16" s="77"/>
      <c r="Y16" s="77"/>
      <c r="Z16" s="77"/>
    </row>
    <row r="17">
      <c r="A17" s="98" t="s">
        <v>98</v>
      </c>
      <c r="B17" s="86">
        <v>2025.0</v>
      </c>
      <c r="C17" s="86" t="s">
        <v>99</v>
      </c>
      <c r="D17" s="86" t="s">
        <v>100</v>
      </c>
      <c r="E17" s="90" t="s">
        <v>637</v>
      </c>
      <c r="F17" s="89" t="s">
        <v>101</v>
      </c>
      <c r="G17" s="90" t="s">
        <v>102</v>
      </c>
      <c r="H17" s="91">
        <v>1.0</v>
      </c>
      <c r="I17" s="91">
        <v>0.0</v>
      </c>
      <c r="J17" s="91">
        <v>1.0</v>
      </c>
      <c r="K17" s="91">
        <v>0.0</v>
      </c>
      <c r="L17" s="91">
        <v>1.0</v>
      </c>
      <c r="M17" s="91">
        <v>0.0</v>
      </c>
      <c r="N17" s="91">
        <v>0.0</v>
      </c>
      <c r="O17" s="92" t="str">
        <f t="shared" si="3"/>
        <v>1</v>
      </c>
      <c r="P17" s="91">
        <v>0.0</v>
      </c>
      <c r="Q17" s="77"/>
      <c r="R17" s="77"/>
      <c r="S17" s="77"/>
      <c r="T17" s="77"/>
      <c r="U17" s="77"/>
      <c r="V17" s="77"/>
      <c r="W17" s="77"/>
      <c r="X17" s="77"/>
      <c r="Y17" s="77"/>
      <c r="Z17" s="77"/>
    </row>
    <row r="18">
      <c r="A18" s="96" t="s">
        <v>103</v>
      </c>
      <c r="B18" s="86">
        <v>2025.0</v>
      </c>
      <c r="C18" s="86" t="s">
        <v>104</v>
      </c>
      <c r="D18" s="86" t="s">
        <v>105</v>
      </c>
      <c r="E18" s="90" t="s">
        <v>638</v>
      </c>
      <c r="F18" s="89" t="s">
        <v>106</v>
      </c>
      <c r="G18" s="90" t="s">
        <v>37</v>
      </c>
      <c r="H18" s="91">
        <v>1.0</v>
      </c>
      <c r="I18" s="91">
        <v>0.0</v>
      </c>
      <c r="J18" s="91">
        <v>1.0</v>
      </c>
      <c r="K18" s="91">
        <v>1.0</v>
      </c>
      <c r="L18" s="91">
        <v>0.0</v>
      </c>
      <c r="M18" s="91">
        <v>0.0</v>
      </c>
      <c r="N18" s="91">
        <v>0.0</v>
      </c>
      <c r="O18" s="92" t="str">
        <f t="shared" si="3"/>
        <v>1</v>
      </c>
      <c r="P18" s="91">
        <v>0.0</v>
      </c>
      <c r="Q18" s="77"/>
      <c r="R18" s="77"/>
      <c r="S18" s="77"/>
      <c r="T18" s="77"/>
      <c r="U18" s="77"/>
      <c r="V18" s="77"/>
      <c r="W18" s="77"/>
      <c r="X18" s="77"/>
      <c r="Y18" s="77"/>
      <c r="Z18" s="77"/>
    </row>
    <row r="19">
      <c r="A19" s="86" t="s">
        <v>108</v>
      </c>
      <c r="B19" s="86">
        <v>2021.0</v>
      </c>
      <c r="C19" s="99" t="s">
        <v>639</v>
      </c>
      <c r="D19" s="86" t="s">
        <v>110</v>
      </c>
      <c r="E19" s="90" t="s">
        <v>41</v>
      </c>
      <c r="F19" s="97" t="s">
        <v>111</v>
      </c>
      <c r="G19" s="90" t="s">
        <v>37</v>
      </c>
      <c r="H19" s="91">
        <v>1.0</v>
      </c>
      <c r="I19" s="91">
        <v>0.0</v>
      </c>
      <c r="J19" s="91">
        <v>1.0</v>
      </c>
      <c r="K19" s="91">
        <v>0.0</v>
      </c>
      <c r="L19" s="91">
        <v>0.0</v>
      </c>
      <c r="M19" s="91">
        <v>0.0</v>
      </c>
      <c r="N19" s="91">
        <v>0.0</v>
      </c>
      <c r="O19" s="92" t="str">
        <f t="shared" si="3"/>
        <v>1</v>
      </c>
      <c r="P19" s="91">
        <v>0.0</v>
      </c>
      <c r="Q19" s="77"/>
      <c r="R19" s="77"/>
      <c r="S19" s="77"/>
      <c r="T19" s="77"/>
      <c r="U19" s="77"/>
      <c r="V19" s="77"/>
      <c r="W19" s="77"/>
      <c r="X19" s="77"/>
      <c r="Y19" s="77"/>
      <c r="Z19" s="77"/>
    </row>
    <row r="20">
      <c r="A20" s="8" t="s">
        <v>112</v>
      </c>
      <c r="B20" s="70">
        <v>2012.0</v>
      </c>
      <c r="C20" s="70" t="s">
        <v>113</v>
      </c>
      <c r="D20" s="8" t="s">
        <v>114</v>
      </c>
      <c r="E20" s="52" t="s">
        <v>115</v>
      </c>
      <c r="F20" s="100" t="s">
        <v>116</v>
      </c>
      <c r="G20" s="52" t="s">
        <v>37</v>
      </c>
      <c r="H20" s="91">
        <v>0.0</v>
      </c>
      <c r="I20" s="91">
        <v>0.0</v>
      </c>
      <c r="J20" s="91">
        <v>0.0</v>
      </c>
      <c r="K20" s="91">
        <v>0.0</v>
      </c>
      <c r="L20" s="91">
        <v>0.0</v>
      </c>
      <c r="M20" s="91">
        <v>0.0</v>
      </c>
      <c r="N20" s="91">
        <v>0.0</v>
      </c>
      <c r="O20" s="91">
        <v>0.0</v>
      </c>
      <c r="P20" s="92" t="str">
        <f t="shared" ref="P20:P23" si="4">IF(AND(H20=0, I20=0, J20=0, K20=0, L20=0, M20=0, N20=0), "1", "")
</f>
        <v>1</v>
      </c>
      <c r="Q20" s="77"/>
      <c r="R20" s="77"/>
      <c r="S20" s="77"/>
      <c r="T20" s="77"/>
      <c r="U20" s="77"/>
      <c r="V20" s="77"/>
      <c r="W20" s="77"/>
      <c r="X20" s="77"/>
      <c r="Y20" s="77"/>
      <c r="Z20" s="77"/>
    </row>
    <row r="21">
      <c r="A21" s="8" t="s">
        <v>117</v>
      </c>
      <c r="B21" s="70">
        <v>2000.0</v>
      </c>
      <c r="C21" s="70" t="s">
        <v>118</v>
      </c>
      <c r="D21" s="8" t="s">
        <v>119</v>
      </c>
      <c r="E21" s="52" t="s">
        <v>51</v>
      </c>
      <c r="F21" s="23" t="s">
        <v>120</v>
      </c>
      <c r="G21" s="52" t="s">
        <v>37</v>
      </c>
      <c r="H21" s="91">
        <v>0.0</v>
      </c>
      <c r="I21" s="91">
        <v>0.0</v>
      </c>
      <c r="J21" s="91">
        <v>0.0</v>
      </c>
      <c r="K21" s="91">
        <v>0.0</v>
      </c>
      <c r="L21" s="91">
        <v>0.0</v>
      </c>
      <c r="M21" s="91">
        <v>0.0</v>
      </c>
      <c r="N21" s="91">
        <v>0.0</v>
      </c>
      <c r="O21" s="91">
        <v>0.0</v>
      </c>
      <c r="P21" s="92" t="str">
        <f t="shared" si="4"/>
        <v>1</v>
      </c>
      <c r="Q21" s="77"/>
      <c r="R21" s="77"/>
      <c r="S21" s="77"/>
      <c r="T21" s="77"/>
      <c r="U21" s="77"/>
      <c r="V21" s="77"/>
      <c r="W21" s="77"/>
      <c r="X21" s="77"/>
      <c r="Y21" s="77"/>
      <c r="Z21" s="77"/>
    </row>
    <row r="22">
      <c r="A22" s="15" t="s">
        <v>121</v>
      </c>
      <c r="B22" s="70">
        <v>2015.0</v>
      </c>
      <c r="C22" s="15" t="s">
        <v>122</v>
      </c>
      <c r="D22" s="15" t="s">
        <v>123</v>
      </c>
      <c r="E22" s="52" t="s">
        <v>51</v>
      </c>
      <c r="F22" s="100" t="s">
        <v>640</v>
      </c>
      <c r="G22" s="52" t="s">
        <v>37</v>
      </c>
      <c r="H22" s="91">
        <v>0.0</v>
      </c>
      <c r="I22" s="91">
        <v>0.0</v>
      </c>
      <c r="J22" s="91">
        <v>0.0</v>
      </c>
      <c r="K22" s="91">
        <v>0.0</v>
      </c>
      <c r="L22" s="91">
        <v>0.0</v>
      </c>
      <c r="M22" s="91">
        <v>0.0</v>
      </c>
      <c r="N22" s="91">
        <v>0.0</v>
      </c>
      <c r="O22" s="91">
        <v>0.0</v>
      </c>
      <c r="P22" s="92" t="str">
        <f t="shared" si="4"/>
        <v>1</v>
      </c>
      <c r="Q22" s="77"/>
      <c r="R22" s="77"/>
      <c r="S22" s="77"/>
      <c r="T22" s="77"/>
      <c r="U22" s="77"/>
      <c r="V22" s="77"/>
      <c r="W22" s="77"/>
      <c r="X22" s="77"/>
      <c r="Y22" s="77"/>
      <c r="Z22" s="77"/>
    </row>
    <row r="23">
      <c r="A23" s="70" t="s">
        <v>125</v>
      </c>
      <c r="B23" s="70">
        <v>2013.0</v>
      </c>
      <c r="C23" s="101" t="s">
        <v>641</v>
      </c>
      <c r="D23" s="70" t="s">
        <v>127</v>
      </c>
      <c r="E23" s="70" t="s">
        <v>29</v>
      </c>
      <c r="F23" s="100" t="s">
        <v>128</v>
      </c>
      <c r="G23" s="52" t="s">
        <v>37</v>
      </c>
      <c r="H23" s="91">
        <v>0.0</v>
      </c>
      <c r="I23" s="91">
        <v>0.0</v>
      </c>
      <c r="J23" s="91">
        <v>0.0</v>
      </c>
      <c r="K23" s="91">
        <v>0.0</v>
      </c>
      <c r="L23" s="91">
        <v>0.0</v>
      </c>
      <c r="M23" s="91">
        <v>0.0</v>
      </c>
      <c r="N23" s="91">
        <v>0.0</v>
      </c>
      <c r="O23" s="91">
        <v>0.0</v>
      </c>
      <c r="P23" s="92" t="str">
        <f t="shared" si="4"/>
        <v>1</v>
      </c>
      <c r="Q23" s="77"/>
      <c r="R23" s="77"/>
      <c r="S23" s="77"/>
      <c r="T23" s="77"/>
      <c r="U23" s="77"/>
      <c r="V23" s="77"/>
      <c r="W23" s="77"/>
      <c r="X23" s="77"/>
      <c r="Y23" s="77"/>
      <c r="Z23" s="77"/>
    </row>
    <row r="24">
      <c r="A24" s="102" t="s">
        <v>129</v>
      </c>
      <c r="B24" s="86">
        <v>2016.0</v>
      </c>
      <c r="C24" s="86" t="s">
        <v>130</v>
      </c>
      <c r="D24" s="96" t="s">
        <v>131</v>
      </c>
      <c r="E24" s="86" t="s">
        <v>642</v>
      </c>
      <c r="F24" s="89" t="s">
        <v>133</v>
      </c>
      <c r="G24" s="90" t="s">
        <v>37</v>
      </c>
      <c r="H24" s="91">
        <v>0.0</v>
      </c>
      <c r="I24" s="91">
        <v>0.0</v>
      </c>
      <c r="J24" s="91">
        <v>0.0</v>
      </c>
      <c r="K24" s="91">
        <v>0.0</v>
      </c>
      <c r="L24" s="91">
        <v>1.0</v>
      </c>
      <c r="M24" s="91">
        <v>0.0</v>
      </c>
      <c r="N24" s="91">
        <v>0.0</v>
      </c>
      <c r="O24" s="92" t="str">
        <f t="shared" ref="O24:O25" si="5">IF(OR(H24=1, I24=1, J24=1, K24=1, L24=1, M24=1, N24=1), "1", "")
</f>
        <v>1</v>
      </c>
      <c r="P24" s="91">
        <v>0.0</v>
      </c>
      <c r="Q24" s="77"/>
      <c r="R24" s="77"/>
      <c r="S24" s="77"/>
      <c r="T24" s="77"/>
      <c r="U24" s="77"/>
      <c r="V24" s="77"/>
      <c r="W24" s="77"/>
      <c r="X24" s="77"/>
      <c r="Y24" s="77"/>
      <c r="Z24" s="77"/>
    </row>
    <row r="25">
      <c r="A25" s="103" t="s">
        <v>135</v>
      </c>
      <c r="B25" s="104">
        <v>2021.0</v>
      </c>
      <c r="C25" s="86" t="s">
        <v>136</v>
      </c>
      <c r="D25" s="96" t="s">
        <v>137</v>
      </c>
      <c r="E25" s="86" t="s">
        <v>642</v>
      </c>
      <c r="F25" s="89" t="s">
        <v>138</v>
      </c>
      <c r="G25" s="90" t="s">
        <v>37</v>
      </c>
      <c r="H25" s="92"/>
      <c r="I25" s="91">
        <v>0.0</v>
      </c>
      <c r="J25" s="91">
        <v>1.0</v>
      </c>
      <c r="K25" s="91">
        <v>0.0</v>
      </c>
      <c r="L25" s="91">
        <v>0.0</v>
      </c>
      <c r="M25" s="91">
        <v>0.0</v>
      </c>
      <c r="N25" s="91">
        <v>1.0</v>
      </c>
      <c r="O25" s="92" t="str">
        <f t="shared" si="5"/>
        <v>1</v>
      </c>
      <c r="P25" s="91">
        <v>0.0</v>
      </c>
      <c r="Q25" s="77"/>
      <c r="R25" s="77"/>
      <c r="S25" s="77"/>
      <c r="T25" s="77"/>
      <c r="U25" s="77"/>
      <c r="V25" s="77"/>
      <c r="W25" s="77"/>
      <c r="X25" s="77"/>
      <c r="Y25" s="77"/>
      <c r="Z25" s="77"/>
    </row>
    <row r="26">
      <c r="A26" s="15" t="s">
        <v>139</v>
      </c>
      <c r="B26" s="70">
        <v>2007.0</v>
      </c>
      <c r="C26" s="15" t="s">
        <v>140</v>
      </c>
      <c r="D26" s="15" t="s">
        <v>141</v>
      </c>
      <c r="E26" s="70" t="s">
        <v>630</v>
      </c>
      <c r="F26" s="100" t="s">
        <v>142</v>
      </c>
      <c r="G26" s="52" t="s">
        <v>37</v>
      </c>
      <c r="H26" s="91">
        <v>0.0</v>
      </c>
      <c r="I26" s="91">
        <v>0.0</v>
      </c>
      <c r="J26" s="91">
        <v>0.0</v>
      </c>
      <c r="K26" s="91">
        <v>0.0</v>
      </c>
      <c r="L26" s="91">
        <v>0.0</v>
      </c>
      <c r="M26" s="91">
        <v>0.0</v>
      </c>
      <c r="N26" s="91">
        <v>0.0</v>
      </c>
      <c r="O26" s="91">
        <v>0.0</v>
      </c>
      <c r="P26" s="92" t="str">
        <f t="shared" ref="P26:P28" si="6">IF(AND(H26=0, I26=0, J26=0, K26=0, L26=0, M26=0, N26=0), "1", "")
</f>
        <v>1</v>
      </c>
      <c r="Q26" s="77"/>
      <c r="R26" s="77"/>
      <c r="S26" s="77"/>
      <c r="T26" s="77"/>
      <c r="U26" s="77"/>
      <c r="V26" s="77"/>
      <c r="W26" s="77"/>
      <c r="X26" s="77"/>
      <c r="Y26" s="77"/>
      <c r="Z26" s="77"/>
    </row>
    <row r="27">
      <c r="A27" s="8" t="s">
        <v>144</v>
      </c>
      <c r="B27" s="70">
        <v>2019.0</v>
      </c>
      <c r="C27" s="8" t="s">
        <v>145</v>
      </c>
      <c r="D27" s="8" t="s">
        <v>146</v>
      </c>
      <c r="E27" s="70" t="s">
        <v>643</v>
      </c>
      <c r="F27" s="36" t="s">
        <v>147</v>
      </c>
      <c r="G27" s="70" t="s">
        <v>148</v>
      </c>
      <c r="H27" s="91">
        <v>0.0</v>
      </c>
      <c r="I27" s="91">
        <v>0.0</v>
      </c>
      <c r="J27" s="91">
        <v>0.0</v>
      </c>
      <c r="K27" s="91">
        <v>0.0</v>
      </c>
      <c r="L27" s="91">
        <v>0.0</v>
      </c>
      <c r="M27" s="91">
        <v>0.0</v>
      </c>
      <c r="N27" s="91">
        <v>0.0</v>
      </c>
      <c r="O27" s="91">
        <v>0.0</v>
      </c>
      <c r="P27" s="92" t="str">
        <f t="shared" si="6"/>
        <v>1</v>
      </c>
      <c r="Q27" s="77"/>
      <c r="R27" s="77"/>
      <c r="S27" s="77"/>
      <c r="T27" s="77"/>
      <c r="U27" s="77"/>
      <c r="V27" s="77"/>
      <c r="W27" s="77"/>
      <c r="X27" s="77"/>
      <c r="Y27" s="77"/>
      <c r="Z27" s="77"/>
    </row>
    <row r="28">
      <c r="A28" s="8" t="s">
        <v>149</v>
      </c>
      <c r="B28" s="70">
        <v>2020.0</v>
      </c>
      <c r="C28" s="8" t="s">
        <v>150</v>
      </c>
      <c r="D28" s="8" t="s">
        <v>151</v>
      </c>
      <c r="E28" s="52" t="s">
        <v>152</v>
      </c>
      <c r="F28" s="18" t="s">
        <v>153</v>
      </c>
      <c r="G28" s="52" t="s">
        <v>37</v>
      </c>
      <c r="H28" s="91">
        <v>0.0</v>
      </c>
      <c r="I28" s="91">
        <v>0.0</v>
      </c>
      <c r="J28" s="91">
        <v>0.0</v>
      </c>
      <c r="K28" s="91">
        <v>0.0</v>
      </c>
      <c r="L28" s="91">
        <v>0.0</v>
      </c>
      <c r="M28" s="91">
        <v>0.0</v>
      </c>
      <c r="N28" s="91">
        <v>0.0</v>
      </c>
      <c r="O28" s="91">
        <v>0.0</v>
      </c>
      <c r="P28" s="92" t="str">
        <f t="shared" si="6"/>
        <v>1</v>
      </c>
      <c r="Q28" s="77"/>
      <c r="R28" s="77"/>
      <c r="S28" s="77"/>
      <c r="T28" s="77"/>
      <c r="U28" s="77"/>
      <c r="V28" s="77"/>
      <c r="W28" s="77"/>
      <c r="X28" s="77"/>
      <c r="Y28" s="77"/>
      <c r="Z28" s="77"/>
    </row>
    <row r="29">
      <c r="A29" s="105" t="s">
        <v>154</v>
      </c>
      <c r="B29" s="86">
        <v>2023.0</v>
      </c>
      <c r="C29" s="105" t="s">
        <v>155</v>
      </c>
      <c r="D29" s="86" t="s">
        <v>156</v>
      </c>
      <c r="E29" s="86" t="s">
        <v>157</v>
      </c>
      <c r="F29" s="89" t="s">
        <v>158</v>
      </c>
      <c r="G29" s="90" t="s">
        <v>37</v>
      </c>
      <c r="H29" s="91">
        <v>0.0</v>
      </c>
      <c r="I29" s="91">
        <v>0.0</v>
      </c>
      <c r="J29" s="91">
        <v>0.0</v>
      </c>
      <c r="K29" s="91">
        <v>0.0</v>
      </c>
      <c r="L29" s="91">
        <v>0.0</v>
      </c>
      <c r="M29" s="91">
        <v>0.0</v>
      </c>
      <c r="N29" s="91">
        <v>1.0</v>
      </c>
      <c r="O29" s="91">
        <v>0.0</v>
      </c>
      <c r="P29" s="91">
        <v>0.0</v>
      </c>
      <c r="Q29" s="77"/>
      <c r="R29" s="77"/>
      <c r="S29" s="77"/>
      <c r="T29" s="77"/>
      <c r="U29" s="77"/>
      <c r="V29" s="77"/>
      <c r="W29" s="77"/>
      <c r="X29" s="77"/>
      <c r="Y29" s="77"/>
      <c r="Z29" s="77"/>
    </row>
    <row r="30">
      <c r="A30" s="105" t="s">
        <v>159</v>
      </c>
      <c r="B30" s="104">
        <v>2025.0</v>
      </c>
      <c r="C30" s="86" t="s">
        <v>160</v>
      </c>
      <c r="D30" s="86" t="s">
        <v>161</v>
      </c>
      <c r="E30" s="86" t="s">
        <v>41</v>
      </c>
      <c r="F30" s="97" t="s">
        <v>162</v>
      </c>
      <c r="G30" s="90" t="s">
        <v>37</v>
      </c>
      <c r="H30" s="91">
        <v>0.0</v>
      </c>
      <c r="I30" s="91">
        <v>0.0</v>
      </c>
      <c r="J30" s="91">
        <v>0.0</v>
      </c>
      <c r="K30" s="91">
        <v>0.0</v>
      </c>
      <c r="L30" s="91">
        <v>0.0</v>
      </c>
      <c r="M30" s="91">
        <v>1.0</v>
      </c>
      <c r="N30" s="91">
        <v>1.0</v>
      </c>
      <c r="O30" s="91">
        <v>0.0</v>
      </c>
      <c r="P30" s="91">
        <v>0.0</v>
      </c>
      <c r="Q30" s="77"/>
      <c r="R30" s="77"/>
      <c r="S30" s="77"/>
      <c r="T30" s="77"/>
      <c r="U30" s="77"/>
      <c r="V30" s="77"/>
      <c r="W30" s="77"/>
      <c r="X30" s="77"/>
      <c r="Y30" s="77"/>
      <c r="Z30" s="77"/>
    </row>
    <row r="31">
      <c r="A31" s="86" t="s">
        <v>163</v>
      </c>
      <c r="B31" s="86">
        <v>2022.0</v>
      </c>
      <c r="C31" s="86" t="s">
        <v>164</v>
      </c>
      <c r="D31" s="86" t="s">
        <v>165</v>
      </c>
      <c r="E31" s="90" t="s">
        <v>644</v>
      </c>
      <c r="F31" s="89" t="s">
        <v>166</v>
      </c>
      <c r="G31" s="90" t="s">
        <v>102</v>
      </c>
      <c r="H31" s="91">
        <v>1.0</v>
      </c>
      <c r="I31" s="91">
        <v>0.0</v>
      </c>
      <c r="J31" s="91">
        <v>1.0</v>
      </c>
      <c r="K31" s="91">
        <v>1.0</v>
      </c>
      <c r="L31" s="91">
        <v>1.0</v>
      </c>
      <c r="M31" s="91">
        <v>0.0</v>
      </c>
      <c r="N31" s="91">
        <v>0.0</v>
      </c>
      <c r="O31" s="91">
        <v>1.0</v>
      </c>
      <c r="P31" s="91">
        <v>0.0</v>
      </c>
      <c r="Q31" s="77"/>
      <c r="R31" s="77"/>
      <c r="S31" s="77"/>
      <c r="T31" s="77"/>
      <c r="U31" s="77"/>
      <c r="V31" s="77"/>
      <c r="W31" s="77"/>
      <c r="X31" s="77"/>
      <c r="Y31" s="77"/>
      <c r="Z31" s="77"/>
    </row>
    <row r="32">
      <c r="A32" s="102" t="s">
        <v>168</v>
      </c>
      <c r="B32" s="86">
        <v>2023.0</v>
      </c>
      <c r="C32" s="106" t="s">
        <v>645</v>
      </c>
      <c r="D32" s="86" t="s">
        <v>170</v>
      </c>
      <c r="E32" s="90" t="s">
        <v>642</v>
      </c>
      <c r="F32" s="89" t="s">
        <v>171</v>
      </c>
      <c r="G32" s="90" t="s">
        <v>37</v>
      </c>
      <c r="H32" s="91">
        <v>1.0</v>
      </c>
      <c r="I32" s="91">
        <v>0.0</v>
      </c>
      <c r="J32" s="91">
        <v>1.0</v>
      </c>
      <c r="K32" s="91">
        <v>1.0</v>
      </c>
      <c r="L32" s="91">
        <v>1.0</v>
      </c>
      <c r="M32" s="91">
        <v>0.0</v>
      </c>
      <c r="N32" s="91">
        <v>0.0</v>
      </c>
      <c r="O32" s="91">
        <v>1.0</v>
      </c>
      <c r="P32" s="91">
        <v>0.0</v>
      </c>
      <c r="Q32" s="77"/>
      <c r="R32" s="77"/>
      <c r="S32" s="77"/>
      <c r="T32" s="77"/>
      <c r="U32" s="77"/>
      <c r="V32" s="77"/>
      <c r="W32" s="77"/>
      <c r="X32" s="77"/>
      <c r="Y32" s="77"/>
      <c r="Z32" s="77"/>
    </row>
    <row r="33">
      <c r="A33" s="86" t="s">
        <v>172</v>
      </c>
      <c r="B33" s="86">
        <v>2025.0</v>
      </c>
      <c r="C33" s="86" t="s">
        <v>173</v>
      </c>
      <c r="D33" s="86" t="s">
        <v>174</v>
      </c>
      <c r="E33" s="90" t="s">
        <v>51</v>
      </c>
      <c r="F33" s="107" t="s">
        <v>175</v>
      </c>
      <c r="G33" s="90" t="s">
        <v>37</v>
      </c>
      <c r="H33" s="91">
        <v>1.0</v>
      </c>
      <c r="I33" s="91">
        <v>0.0</v>
      </c>
      <c r="J33" s="91">
        <v>1.0</v>
      </c>
      <c r="K33" s="91">
        <v>0.0</v>
      </c>
      <c r="L33" s="91">
        <v>0.0</v>
      </c>
      <c r="M33" s="91">
        <v>0.0</v>
      </c>
      <c r="N33" s="91">
        <v>0.0</v>
      </c>
      <c r="O33" s="91">
        <v>1.0</v>
      </c>
      <c r="P33" s="91">
        <v>0.0</v>
      </c>
      <c r="Q33" s="77"/>
      <c r="R33" s="77"/>
      <c r="S33" s="77"/>
      <c r="T33" s="77"/>
      <c r="U33" s="77"/>
      <c r="V33" s="77"/>
      <c r="W33" s="77"/>
      <c r="X33" s="77"/>
      <c r="Y33" s="77"/>
      <c r="Z33" s="77"/>
    </row>
    <row r="34">
      <c r="A34" s="86" t="s">
        <v>176</v>
      </c>
      <c r="B34" s="86">
        <v>2025.0</v>
      </c>
      <c r="C34" s="108" t="s">
        <v>646</v>
      </c>
      <c r="D34" s="86" t="s">
        <v>178</v>
      </c>
      <c r="E34" s="90" t="s">
        <v>41</v>
      </c>
      <c r="F34" s="97" t="s">
        <v>179</v>
      </c>
      <c r="G34" s="90" t="s">
        <v>37</v>
      </c>
      <c r="H34" s="91">
        <v>1.0</v>
      </c>
      <c r="I34" s="91">
        <v>0.0</v>
      </c>
      <c r="J34" s="91">
        <v>1.0</v>
      </c>
      <c r="K34" s="91">
        <v>0.0</v>
      </c>
      <c r="L34" s="91">
        <v>0.0</v>
      </c>
      <c r="M34" s="91">
        <v>0.0</v>
      </c>
      <c r="N34" s="91">
        <v>0.0</v>
      </c>
      <c r="O34" s="91">
        <v>1.0</v>
      </c>
      <c r="P34" s="91">
        <v>0.0</v>
      </c>
      <c r="Q34" s="77"/>
      <c r="R34" s="77"/>
      <c r="S34" s="77"/>
      <c r="T34" s="77"/>
      <c r="U34" s="77"/>
      <c r="V34" s="77"/>
      <c r="W34" s="77"/>
      <c r="X34" s="77"/>
      <c r="Y34" s="77"/>
      <c r="Z34" s="77"/>
    </row>
    <row r="35">
      <c r="A35" s="109" t="s">
        <v>294</v>
      </c>
      <c r="B35" s="109">
        <v>2024.0</v>
      </c>
      <c r="C35" s="110" t="s">
        <v>295</v>
      </c>
      <c r="D35" s="109" t="s">
        <v>296</v>
      </c>
      <c r="E35" s="111" t="s">
        <v>647</v>
      </c>
      <c r="F35" s="112" t="s">
        <v>297</v>
      </c>
      <c r="G35" s="90" t="s">
        <v>37</v>
      </c>
      <c r="H35" s="91">
        <v>0.0</v>
      </c>
      <c r="I35" s="91">
        <v>1.0</v>
      </c>
      <c r="J35" s="91">
        <v>1.0</v>
      </c>
      <c r="K35" s="91">
        <v>0.0</v>
      </c>
      <c r="L35" s="91">
        <v>0.0</v>
      </c>
      <c r="M35" s="91">
        <v>1.0</v>
      </c>
      <c r="N35" s="91">
        <v>1.0</v>
      </c>
      <c r="O35" s="91">
        <v>1.0</v>
      </c>
      <c r="P35" s="91">
        <v>0.0</v>
      </c>
      <c r="Q35" s="77"/>
      <c r="R35" s="77"/>
      <c r="S35" s="77"/>
      <c r="T35" s="77"/>
      <c r="U35" s="77"/>
      <c r="V35" s="77"/>
      <c r="W35" s="77"/>
      <c r="X35" s="77"/>
      <c r="Y35" s="77"/>
      <c r="Z35" s="77"/>
    </row>
    <row r="36">
      <c r="A36" s="96" t="s">
        <v>184</v>
      </c>
      <c r="B36" s="86">
        <v>2023.0</v>
      </c>
      <c r="C36" s="96" t="s">
        <v>185</v>
      </c>
      <c r="D36" s="96" t="s">
        <v>186</v>
      </c>
      <c r="E36" s="90" t="s">
        <v>187</v>
      </c>
      <c r="F36" s="94" t="s">
        <v>188</v>
      </c>
      <c r="G36" s="90" t="s">
        <v>37</v>
      </c>
      <c r="H36" s="91">
        <v>1.0</v>
      </c>
      <c r="I36" s="91">
        <v>0.0</v>
      </c>
      <c r="J36" s="91">
        <v>1.0</v>
      </c>
      <c r="K36" s="91">
        <v>0.0</v>
      </c>
      <c r="L36" s="91">
        <v>0.0</v>
      </c>
      <c r="M36" s="91">
        <v>0.0</v>
      </c>
      <c r="N36" s="91">
        <v>0.0</v>
      </c>
      <c r="O36" s="91">
        <v>1.0</v>
      </c>
      <c r="P36" s="91">
        <v>0.0</v>
      </c>
      <c r="Q36" s="77"/>
      <c r="R36" s="77"/>
      <c r="S36" s="77"/>
      <c r="T36" s="77"/>
      <c r="U36" s="77"/>
      <c r="V36" s="77"/>
      <c r="W36" s="77"/>
      <c r="X36" s="77"/>
      <c r="Y36" s="77"/>
      <c r="Z36" s="77"/>
    </row>
    <row r="37">
      <c r="A37" s="86" t="s">
        <v>189</v>
      </c>
      <c r="B37" s="86">
        <v>2025.0</v>
      </c>
      <c r="C37" s="99" t="s">
        <v>190</v>
      </c>
      <c r="D37" s="86" t="s">
        <v>191</v>
      </c>
      <c r="E37" s="90" t="s">
        <v>192</v>
      </c>
      <c r="F37" s="113" t="s">
        <v>193</v>
      </c>
      <c r="G37" s="90" t="s">
        <v>37</v>
      </c>
      <c r="H37" s="91">
        <v>1.0</v>
      </c>
      <c r="I37" s="91">
        <v>0.0</v>
      </c>
      <c r="J37" s="91">
        <v>1.0</v>
      </c>
      <c r="K37" s="91">
        <v>0.0</v>
      </c>
      <c r="L37" s="91">
        <v>0.0</v>
      </c>
      <c r="M37" s="91">
        <v>0.0</v>
      </c>
      <c r="N37" s="91">
        <v>0.0</v>
      </c>
      <c r="O37" s="91">
        <v>1.0</v>
      </c>
      <c r="P37" s="91">
        <v>0.0</v>
      </c>
      <c r="Q37" s="77"/>
      <c r="R37" s="77"/>
      <c r="S37" s="77"/>
      <c r="T37" s="77"/>
      <c r="U37" s="77"/>
      <c r="V37" s="77"/>
      <c r="W37" s="77"/>
      <c r="X37" s="77"/>
      <c r="Y37" s="77"/>
      <c r="Z37" s="77"/>
    </row>
    <row r="38">
      <c r="A38" s="86" t="s">
        <v>194</v>
      </c>
      <c r="B38" s="86">
        <v>2020.0</v>
      </c>
      <c r="C38" s="86" t="s">
        <v>195</v>
      </c>
      <c r="D38" s="86" t="s">
        <v>196</v>
      </c>
      <c r="E38" s="90" t="s">
        <v>51</v>
      </c>
      <c r="F38" s="114" t="s">
        <v>197</v>
      </c>
      <c r="G38" s="90" t="s">
        <v>198</v>
      </c>
      <c r="H38" s="91">
        <v>1.0</v>
      </c>
      <c r="I38" s="91">
        <v>0.0</v>
      </c>
      <c r="J38" s="91">
        <v>1.0</v>
      </c>
      <c r="K38" s="91">
        <v>0.0</v>
      </c>
      <c r="L38" s="91">
        <v>0.0</v>
      </c>
      <c r="M38" s="91">
        <v>0.0</v>
      </c>
      <c r="N38" s="91">
        <v>0.0</v>
      </c>
      <c r="O38" s="91">
        <v>1.0</v>
      </c>
      <c r="P38" s="91">
        <v>0.0</v>
      </c>
      <c r="Q38" s="77"/>
      <c r="R38" s="77"/>
      <c r="S38" s="77"/>
      <c r="T38" s="77"/>
      <c r="U38" s="77"/>
      <c r="V38" s="77"/>
      <c r="W38" s="77"/>
      <c r="X38" s="77"/>
      <c r="Y38" s="77"/>
      <c r="Z38" s="77"/>
    </row>
    <row r="39">
      <c r="A39" s="86" t="s">
        <v>199</v>
      </c>
      <c r="B39" s="86">
        <v>2025.0</v>
      </c>
      <c r="C39" s="86" t="s">
        <v>200</v>
      </c>
      <c r="D39" s="86" t="s">
        <v>201</v>
      </c>
      <c r="E39" s="90" t="s">
        <v>96</v>
      </c>
      <c r="F39" s="90" t="s">
        <v>202</v>
      </c>
      <c r="G39" s="90" t="s">
        <v>37</v>
      </c>
      <c r="H39" s="91">
        <v>1.0</v>
      </c>
      <c r="I39" s="91">
        <v>0.0</v>
      </c>
      <c r="J39" s="91">
        <v>1.0</v>
      </c>
      <c r="K39" s="91">
        <v>0.0</v>
      </c>
      <c r="L39" s="91">
        <v>0.0</v>
      </c>
      <c r="M39" s="91">
        <v>0.0</v>
      </c>
      <c r="N39" s="91">
        <v>0.0</v>
      </c>
      <c r="O39" s="91">
        <v>1.0</v>
      </c>
      <c r="P39" s="91">
        <v>0.0</v>
      </c>
      <c r="Q39" s="77"/>
      <c r="R39" s="77"/>
      <c r="S39" s="77"/>
      <c r="T39" s="77"/>
      <c r="U39" s="77"/>
      <c r="V39" s="77"/>
      <c r="W39" s="77"/>
      <c r="X39" s="77"/>
      <c r="Y39" s="77"/>
      <c r="Z39" s="77"/>
    </row>
    <row r="40">
      <c r="A40" s="86" t="s">
        <v>203</v>
      </c>
      <c r="B40" s="86">
        <v>2024.0</v>
      </c>
      <c r="C40" s="86" t="s">
        <v>204</v>
      </c>
      <c r="D40" s="86" t="s">
        <v>205</v>
      </c>
      <c r="E40" s="90" t="s">
        <v>46</v>
      </c>
      <c r="F40" s="115" t="s">
        <v>206</v>
      </c>
      <c r="G40" s="90" t="s">
        <v>31</v>
      </c>
      <c r="H40" s="91">
        <v>1.0</v>
      </c>
      <c r="I40" s="91">
        <v>0.0</v>
      </c>
      <c r="J40" s="91">
        <v>1.0</v>
      </c>
      <c r="K40" s="91">
        <v>0.0</v>
      </c>
      <c r="L40" s="91">
        <v>0.0</v>
      </c>
      <c r="M40" s="91">
        <v>0.0</v>
      </c>
      <c r="N40" s="91">
        <v>0.0</v>
      </c>
      <c r="O40" s="91">
        <v>1.0</v>
      </c>
      <c r="P40" s="91">
        <v>0.0</v>
      </c>
      <c r="Q40" s="77"/>
      <c r="R40" s="77"/>
      <c r="S40" s="77"/>
      <c r="T40" s="77"/>
      <c r="U40" s="77"/>
      <c r="V40" s="77"/>
      <c r="W40" s="77"/>
      <c r="X40" s="77"/>
      <c r="Y40" s="77"/>
      <c r="Z40" s="77"/>
    </row>
    <row r="41">
      <c r="A41" s="86" t="s">
        <v>207</v>
      </c>
      <c r="B41" s="86">
        <v>2024.0</v>
      </c>
      <c r="C41" s="86" t="s">
        <v>208</v>
      </c>
      <c r="D41" s="86" t="s">
        <v>209</v>
      </c>
      <c r="E41" s="90" t="s">
        <v>96</v>
      </c>
      <c r="F41" s="115" t="s">
        <v>210</v>
      </c>
      <c r="G41" s="90" t="s">
        <v>211</v>
      </c>
      <c r="H41" s="91">
        <v>1.0</v>
      </c>
      <c r="I41" s="91">
        <v>0.0</v>
      </c>
      <c r="J41" s="91">
        <v>1.0</v>
      </c>
      <c r="K41" s="91">
        <v>0.0</v>
      </c>
      <c r="L41" s="91">
        <v>0.0</v>
      </c>
      <c r="M41" s="91">
        <v>0.0</v>
      </c>
      <c r="N41" s="91">
        <v>0.0</v>
      </c>
      <c r="O41" s="91">
        <v>1.0</v>
      </c>
      <c r="P41" s="91">
        <v>0.0</v>
      </c>
      <c r="Q41" s="77"/>
      <c r="R41" s="77"/>
      <c r="S41" s="77"/>
      <c r="T41" s="77"/>
      <c r="U41" s="77"/>
      <c r="V41" s="77"/>
      <c r="W41" s="77"/>
      <c r="X41" s="77"/>
      <c r="Y41" s="77"/>
      <c r="Z41" s="77"/>
    </row>
    <row r="42">
      <c r="A42" s="105" t="s">
        <v>319</v>
      </c>
      <c r="B42" s="86">
        <v>2025.0</v>
      </c>
      <c r="C42" s="86" t="s">
        <v>320</v>
      </c>
      <c r="D42" s="86" t="s">
        <v>321</v>
      </c>
      <c r="E42" s="90" t="s">
        <v>51</v>
      </c>
      <c r="F42" s="116" t="s">
        <v>322</v>
      </c>
      <c r="G42" s="90" t="s">
        <v>198</v>
      </c>
      <c r="H42" s="91">
        <v>1.0</v>
      </c>
      <c r="I42" s="91">
        <v>1.0</v>
      </c>
      <c r="J42" s="91">
        <v>1.0</v>
      </c>
      <c r="K42" s="91">
        <v>1.0</v>
      </c>
      <c r="L42" s="91">
        <v>1.0</v>
      </c>
      <c r="M42" s="91">
        <v>0.0</v>
      </c>
      <c r="N42" s="91">
        <v>1.0</v>
      </c>
      <c r="O42" s="91">
        <v>1.0</v>
      </c>
      <c r="P42" s="91">
        <v>0.0</v>
      </c>
      <c r="Q42" s="77"/>
      <c r="R42" s="77"/>
      <c r="S42" s="77"/>
      <c r="T42" s="77"/>
      <c r="U42" s="77"/>
      <c r="V42" s="77"/>
      <c r="W42" s="77"/>
      <c r="X42" s="77"/>
      <c r="Y42" s="77"/>
      <c r="Z42" s="77"/>
    </row>
    <row r="43">
      <c r="A43" s="117" t="s">
        <v>212</v>
      </c>
      <c r="B43" s="118">
        <v>2016.0</v>
      </c>
      <c r="C43" s="119" t="s">
        <v>213</v>
      </c>
      <c r="D43" s="8" t="s">
        <v>214</v>
      </c>
      <c r="E43" s="5" t="s">
        <v>215</v>
      </c>
      <c r="F43" s="49" t="s">
        <v>216</v>
      </c>
      <c r="G43" s="5" t="s">
        <v>217</v>
      </c>
      <c r="H43" s="91"/>
      <c r="I43" s="91"/>
      <c r="J43" s="91"/>
      <c r="K43" s="91"/>
      <c r="L43" s="91"/>
      <c r="M43" s="91"/>
      <c r="N43" s="91"/>
      <c r="O43" s="91"/>
      <c r="P43" s="91"/>
      <c r="Q43" s="77"/>
      <c r="R43" s="77"/>
      <c r="S43" s="77"/>
      <c r="T43" s="77"/>
      <c r="U43" s="77"/>
      <c r="V43" s="77"/>
      <c r="W43" s="77"/>
      <c r="X43" s="77"/>
      <c r="Y43" s="77"/>
      <c r="Z43" s="77"/>
    </row>
    <row r="44">
      <c r="A44" s="117" t="s">
        <v>219</v>
      </c>
      <c r="B44" s="118">
        <v>2024.0</v>
      </c>
      <c r="C44" s="119" t="s">
        <v>220</v>
      </c>
      <c r="D44" s="119" t="s">
        <v>221</v>
      </c>
      <c r="E44" s="5" t="s">
        <v>215</v>
      </c>
      <c r="F44" s="49" t="s">
        <v>222</v>
      </c>
      <c r="G44" s="5" t="s">
        <v>37</v>
      </c>
      <c r="H44" s="91"/>
      <c r="I44" s="91"/>
      <c r="J44" s="91"/>
      <c r="K44" s="91"/>
      <c r="L44" s="91"/>
      <c r="M44" s="91"/>
      <c r="N44" s="91"/>
      <c r="O44" s="91"/>
      <c r="P44" s="91"/>
      <c r="Q44" s="77"/>
      <c r="R44" s="77"/>
      <c r="S44" s="77"/>
      <c r="T44" s="77"/>
      <c r="U44" s="77"/>
      <c r="V44" s="77"/>
      <c r="W44" s="77"/>
      <c r="X44" s="77"/>
      <c r="Y44" s="77"/>
      <c r="Z44" s="77"/>
    </row>
    <row r="45">
      <c r="A45" s="117" t="s">
        <v>223</v>
      </c>
      <c r="B45" s="119">
        <v>2010.0</v>
      </c>
      <c r="C45" s="119" t="s">
        <v>224</v>
      </c>
      <c r="D45" s="119" t="s">
        <v>225</v>
      </c>
      <c r="E45" s="26" t="s">
        <v>132</v>
      </c>
      <c r="F45" s="51" t="s">
        <v>226</v>
      </c>
      <c r="G45" s="52" t="s">
        <v>37</v>
      </c>
      <c r="H45" s="91"/>
      <c r="I45" s="91"/>
      <c r="J45" s="91"/>
      <c r="K45" s="91"/>
      <c r="L45" s="91"/>
      <c r="M45" s="91"/>
      <c r="N45" s="91"/>
      <c r="O45" s="91"/>
      <c r="P45" s="91"/>
      <c r="Q45" s="77"/>
      <c r="R45" s="77"/>
      <c r="S45" s="77"/>
      <c r="T45" s="77"/>
      <c r="U45" s="77"/>
      <c r="V45" s="77"/>
      <c r="W45" s="77"/>
      <c r="X45" s="77"/>
      <c r="Y45" s="77"/>
      <c r="Z45" s="77"/>
    </row>
    <row r="46">
      <c r="A46" s="117" t="s">
        <v>227</v>
      </c>
      <c r="B46" s="118">
        <v>2014.0</v>
      </c>
      <c r="C46" s="119" t="s">
        <v>228</v>
      </c>
      <c r="D46" s="119" t="s">
        <v>229</v>
      </c>
      <c r="E46" s="5" t="s">
        <v>96</v>
      </c>
      <c r="F46" s="11" t="s">
        <v>230</v>
      </c>
      <c r="G46" s="5" t="s">
        <v>37</v>
      </c>
      <c r="H46" s="91"/>
      <c r="I46" s="91"/>
      <c r="J46" s="91"/>
      <c r="K46" s="91"/>
      <c r="L46" s="91"/>
      <c r="M46" s="91"/>
      <c r="N46" s="91"/>
      <c r="O46" s="91"/>
      <c r="P46" s="91"/>
      <c r="Q46" s="77"/>
      <c r="R46" s="77"/>
      <c r="S46" s="77"/>
      <c r="T46" s="77"/>
      <c r="U46" s="77"/>
      <c r="V46" s="77"/>
      <c r="W46" s="77"/>
      <c r="X46" s="77"/>
      <c r="Y46" s="77"/>
      <c r="Z46" s="77"/>
    </row>
    <row r="47">
      <c r="A47" s="117" t="s">
        <v>231</v>
      </c>
      <c r="B47" s="118">
        <v>2022.0</v>
      </c>
      <c r="C47" s="70" t="s">
        <v>232</v>
      </c>
      <c r="D47" s="8" t="s">
        <v>233</v>
      </c>
      <c r="E47" s="5" t="s">
        <v>51</v>
      </c>
      <c r="F47" s="18" t="s">
        <v>234</v>
      </c>
      <c r="G47" s="5" t="s">
        <v>37</v>
      </c>
      <c r="H47" s="91"/>
      <c r="I47" s="91"/>
      <c r="J47" s="91"/>
      <c r="K47" s="91"/>
      <c r="L47" s="91"/>
      <c r="M47" s="91"/>
      <c r="N47" s="91"/>
      <c r="O47" s="91"/>
      <c r="P47" s="91"/>
      <c r="Q47" s="77"/>
      <c r="R47" s="77"/>
      <c r="S47" s="77"/>
      <c r="T47" s="77"/>
      <c r="U47" s="77"/>
      <c r="V47" s="77"/>
      <c r="W47" s="77"/>
      <c r="X47" s="77"/>
      <c r="Y47" s="77"/>
      <c r="Z47" s="77"/>
    </row>
    <row r="48">
      <c r="A48" s="117" t="s">
        <v>235</v>
      </c>
      <c r="B48" s="118">
        <v>2020.0</v>
      </c>
      <c r="C48" s="120"/>
      <c r="D48" s="120"/>
      <c r="E48" s="56"/>
      <c r="F48" s="6"/>
      <c r="G48" s="6"/>
      <c r="H48" s="91"/>
      <c r="I48" s="91"/>
      <c r="J48" s="91"/>
      <c r="K48" s="91"/>
      <c r="L48" s="91"/>
      <c r="M48" s="91"/>
      <c r="N48" s="91"/>
      <c r="O48" s="91"/>
      <c r="P48" s="91"/>
      <c r="Q48" s="77"/>
      <c r="R48" s="77"/>
      <c r="S48" s="77"/>
      <c r="T48" s="77"/>
      <c r="U48" s="77"/>
      <c r="V48" s="77"/>
      <c r="W48" s="77"/>
      <c r="X48" s="77"/>
      <c r="Y48" s="77"/>
      <c r="Z48" s="77"/>
    </row>
    <row r="49">
      <c r="A49" s="117" t="s">
        <v>240</v>
      </c>
      <c r="B49" s="118">
        <v>2021.0</v>
      </c>
      <c r="C49" s="120"/>
      <c r="D49" s="120"/>
      <c r="E49" s="56" t="s">
        <v>243</v>
      </c>
      <c r="F49" s="6"/>
      <c r="G49" s="6"/>
      <c r="H49" s="91"/>
      <c r="I49" s="91"/>
      <c r="J49" s="91"/>
      <c r="K49" s="91"/>
      <c r="L49" s="91"/>
      <c r="M49" s="91"/>
      <c r="N49" s="91"/>
      <c r="O49" s="91"/>
      <c r="P49" s="91"/>
      <c r="Q49" s="77"/>
      <c r="R49" s="77"/>
      <c r="S49" s="77"/>
      <c r="T49" s="77"/>
      <c r="U49" s="77"/>
      <c r="V49" s="77"/>
      <c r="W49" s="77"/>
      <c r="X49" s="77"/>
      <c r="Y49" s="77"/>
      <c r="Z49" s="77"/>
    </row>
    <row r="50">
      <c r="A50" s="117" t="s">
        <v>245</v>
      </c>
      <c r="B50" s="118">
        <v>2021.0</v>
      </c>
      <c r="C50" s="120"/>
      <c r="D50" s="120"/>
      <c r="E50" s="56" t="s">
        <v>648</v>
      </c>
      <c r="F50" s="6"/>
      <c r="G50" s="6"/>
      <c r="H50" s="91"/>
      <c r="I50" s="91"/>
      <c r="J50" s="91"/>
      <c r="K50" s="91"/>
      <c r="L50" s="91"/>
      <c r="M50" s="91"/>
      <c r="N50" s="91"/>
      <c r="O50" s="91"/>
      <c r="P50" s="91"/>
      <c r="Q50" s="77"/>
      <c r="R50" s="77"/>
      <c r="S50" s="77"/>
      <c r="T50" s="77"/>
      <c r="U50" s="77"/>
      <c r="V50" s="77"/>
      <c r="W50" s="77"/>
      <c r="X50" s="77"/>
      <c r="Y50" s="77"/>
      <c r="Z50" s="77"/>
    </row>
    <row r="51">
      <c r="A51" s="117" t="s">
        <v>249</v>
      </c>
      <c r="B51" s="118">
        <v>2025.0</v>
      </c>
      <c r="C51" s="120"/>
      <c r="D51" s="120"/>
      <c r="E51" s="56"/>
      <c r="F51" s="6"/>
      <c r="G51" s="6"/>
      <c r="H51" s="91"/>
      <c r="I51" s="91"/>
      <c r="J51" s="91"/>
      <c r="K51" s="91"/>
      <c r="L51" s="91"/>
      <c r="M51" s="91"/>
      <c r="N51" s="91"/>
      <c r="O51" s="91"/>
      <c r="P51" s="91"/>
      <c r="Q51" s="77"/>
      <c r="R51" s="77"/>
      <c r="S51" s="77"/>
      <c r="T51" s="77"/>
      <c r="U51" s="77"/>
      <c r="V51" s="77"/>
      <c r="W51" s="77"/>
      <c r="X51" s="77"/>
      <c r="Y51" s="77"/>
      <c r="Z51" s="77"/>
    </row>
    <row r="52">
      <c r="A52" s="117" t="s">
        <v>254</v>
      </c>
      <c r="B52" s="118">
        <v>2009.0</v>
      </c>
      <c r="C52" s="120"/>
      <c r="D52" s="120"/>
      <c r="E52" s="56"/>
      <c r="F52" s="6"/>
      <c r="G52" s="6"/>
      <c r="H52" s="91"/>
      <c r="I52" s="91"/>
      <c r="J52" s="91"/>
      <c r="K52" s="91"/>
      <c r="L52" s="91"/>
      <c r="M52" s="91"/>
      <c r="N52" s="91"/>
      <c r="O52" s="91"/>
      <c r="P52" s="91"/>
      <c r="Q52" s="77"/>
      <c r="R52" s="77"/>
      <c r="S52" s="77"/>
      <c r="T52" s="77"/>
      <c r="U52" s="77"/>
      <c r="V52" s="77"/>
      <c r="W52" s="77"/>
      <c r="X52" s="77"/>
      <c r="Y52" s="77"/>
      <c r="Z52" s="77"/>
    </row>
    <row r="53">
      <c r="A53" s="117" t="s">
        <v>258</v>
      </c>
      <c r="B53" s="118">
        <v>2024.0</v>
      </c>
      <c r="C53" s="120"/>
      <c r="D53" s="120"/>
      <c r="E53" s="56" t="s">
        <v>649</v>
      </c>
      <c r="F53" s="6"/>
      <c r="G53" s="6"/>
      <c r="H53" s="91"/>
      <c r="I53" s="91"/>
      <c r="J53" s="91"/>
      <c r="K53" s="91"/>
      <c r="L53" s="91"/>
      <c r="M53" s="91"/>
      <c r="N53" s="91"/>
      <c r="O53" s="91"/>
      <c r="P53" s="91"/>
      <c r="Q53" s="77"/>
      <c r="R53" s="77"/>
      <c r="S53" s="77"/>
      <c r="T53" s="77"/>
      <c r="U53" s="77"/>
      <c r="V53" s="77"/>
      <c r="W53" s="77"/>
      <c r="X53" s="77"/>
      <c r="Y53" s="77"/>
      <c r="Z53" s="77"/>
    </row>
    <row r="54">
      <c r="A54" s="117" t="s">
        <v>262</v>
      </c>
      <c r="B54" s="118">
        <v>2024.0</v>
      </c>
      <c r="C54" s="120"/>
      <c r="D54" s="120"/>
      <c r="E54" s="56"/>
      <c r="F54" s="6"/>
      <c r="G54" s="6"/>
      <c r="H54" s="91"/>
      <c r="I54" s="91"/>
      <c r="J54" s="91"/>
      <c r="K54" s="91"/>
      <c r="L54" s="91"/>
      <c r="M54" s="91"/>
      <c r="N54" s="91"/>
      <c r="O54" s="91"/>
      <c r="P54" s="91"/>
      <c r="Q54" s="77"/>
      <c r="R54" s="77"/>
      <c r="S54" s="77"/>
      <c r="T54" s="77"/>
      <c r="U54" s="77"/>
      <c r="V54" s="77"/>
      <c r="W54" s="77"/>
      <c r="X54" s="77"/>
      <c r="Y54" s="77"/>
      <c r="Z54" s="77"/>
    </row>
    <row r="55">
      <c r="A55" s="117" t="s">
        <v>266</v>
      </c>
      <c r="B55" s="118">
        <v>2022.0</v>
      </c>
      <c r="C55" s="120"/>
      <c r="D55" s="120"/>
      <c r="E55" s="56"/>
      <c r="F55" s="6"/>
      <c r="G55" s="6"/>
      <c r="H55" s="91"/>
      <c r="I55" s="91"/>
      <c r="J55" s="91"/>
      <c r="K55" s="91"/>
      <c r="L55" s="91"/>
      <c r="M55" s="91"/>
      <c r="N55" s="91"/>
      <c r="O55" s="91"/>
      <c r="P55" s="91"/>
      <c r="Q55" s="77"/>
      <c r="R55" s="77"/>
      <c r="S55" s="77"/>
      <c r="T55" s="77"/>
      <c r="U55" s="77"/>
      <c r="V55" s="77"/>
      <c r="W55" s="77"/>
      <c r="X55" s="77"/>
      <c r="Y55" s="77"/>
      <c r="Z55" s="77"/>
    </row>
    <row r="56">
      <c r="A56" s="117" t="s">
        <v>270</v>
      </c>
      <c r="B56" s="118">
        <v>2024.0</v>
      </c>
      <c r="C56" s="120"/>
      <c r="D56" s="120"/>
      <c r="E56" s="56"/>
      <c r="F56" s="6"/>
      <c r="G56" s="6"/>
      <c r="H56" s="91"/>
      <c r="I56" s="91"/>
      <c r="J56" s="91"/>
      <c r="K56" s="91"/>
      <c r="L56" s="91"/>
      <c r="M56" s="91"/>
      <c r="N56" s="91"/>
      <c r="O56" s="91"/>
      <c r="P56" s="91"/>
      <c r="Q56" s="77"/>
      <c r="R56" s="77"/>
      <c r="S56" s="77"/>
      <c r="T56" s="77"/>
      <c r="U56" s="77"/>
      <c r="V56" s="77"/>
      <c r="W56" s="77"/>
      <c r="X56" s="77"/>
      <c r="Y56" s="77"/>
      <c r="Z56" s="77"/>
    </row>
    <row r="57">
      <c r="A57" s="105" t="s">
        <v>324</v>
      </c>
      <c r="B57" s="86">
        <v>2023.0</v>
      </c>
      <c r="C57" s="86" t="s">
        <v>325</v>
      </c>
      <c r="D57" s="86" t="s">
        <v>326</v>
      </c>
      <c r="E57" s="90" t="s">
        <v>215</v>
      </c>
      <c r="F57" s="121" t="s">
        <v>327</v>
      </c>
      <c r="G57" s="90" t="s">
        <v>274</v>
      </c>
      <c r="H57" s="91">
        <v>1.0</v>
      </c>
      <c r="I57" s="91">
        <v>0.0</v>
      </c>
      <c r="J57" s="91">
        <v>1.0</v>
      </c>
      <c r="K57" s="91">
        <v>1.0</v>
      </c>
      <c r="L57" s="91">
        <v>1.0</v>
      </c>
      <c r="M57" s="91">
        <v>1.0</v>
      </c>
      <c r="N57" s="91">
        <v>0.0</v>
      </c>
      <c r="O57" s="91">
        <v>1.0</v>
      </c>
      <c r="P57" s="91">
        <v>0.0</v>
      </c>
      <c r="Q57" s="77"/>
      <c r="R57" s="77"/>
      <c r="S57" s="77"/>
      <c r="T57" s="77"/>
      <c r="U57" s="77"/>
      <c r="V57" s="77"/>
      <c r="W57" s="77"/>
      <c r="X57" s="77"/>
      <c r="Y57" s="77"/>
      <c r="Z57" s="77"/>
    </row>
    <row r="58">
      <c r="A58" s="105" t="s">
        <v>328</v>
      </c>
      <c r="B58" s="86">
        <v>2025.0</v>
      </c>
      <c r="C58" s="95" t="s">
        <v>329</v>
      </c>
      <c r="D58" s="86" t="s">
        <v>330</v>
      </c>
      <c r="E58" s="90" t="s">
        <v>215</v>
      </c>
      <c r="F58" s="121" t="s">
        <v>331</v>
      </c>
      <c r="G58" s="90" t="s">
        <v>198</v>
      </c>
      <c r="H58" s="91">
        <v>1.0</v>
      </c>
      <c r="I58" s="91">
        <v>0.0</v>
      </c>
      <c r="J58" s="91">
        <v>1.0</v>
      </c>
      <c r="K58" s="91">
        <v>1.0</v>
      </c>
      <c r="L58" s="91">
        <v>1.0</v>
      </c>
      <c r="M58" s="91">
        <v>1.0</v>
      </c>
      <c r="N58" s="91">
        <v>0.0</v>
      </c>
      <c r="O58" s="91">
        <v>1.0</v>
      </c>
      <c r="P58" s="91">
        <v>0.0</v>
      </c>
      <c r="Q58" s="77"/>
      <c r="R58" s="77"/>
      <c r="S58" s="77"/>
      <c r="T58" s="77"/>
      <c r="U58" s="77"/>
      <c r="V58" s="77"/>
      <c r="W58" s="77"/>
      <c r="X58" s="77"/>
      <c r="Y58" s="77"/>
      <c r="Z58" s="77"/>
    </row>
    <row r="59">
      <c r="A59" s="105" t="s">
        <v>332</v>
      </c>
      <c r="B59" s="86">
        <v>2024.0</v>
      </c>
      <c r="C59" s="86" t="s">
        <v>333</v>
      </c>
      <c r="D59" s="86" t="s">
        <v>334</v>
      </c>
      <c r="E59" s="90" t="s">
        <v>335</v>
      </c>
      <c r="F59" s="116" t="s">
        <v>336</v>
      </c>
      <c r="G59" s="90" t="s">
        <v>337</v>
      </c>
      <c r="H59" s="91">
        <v>1.0</v>
      </c>
      <c r="I59" s="91">
        <v>0.0</v>
      </c>
      <c r="J59" s="91">
        <v>1.0</v>
      </c>
      <c r="K59" s="91">
        <v>1.0</v>
      </c>
      <c r="L59" s="91">
        <v>1.0</v>
      </c>
      <c r="M59" s="91">
        <v>0.0</v>
      </c>
      <c r="N59" s="91">
        <v>0.0</v>
      </c>
      <c r="O59" s="91">
        <v>1.0</v>
      </c>
      <c r="P59" s="91">
        <v>0.0</v>
      </c>
      <c r="Q59" s="77"/>
      <c r="R59" s="77"/>
      <c r="S59" s="77"/>
      <c r="T59" s="77"/>
      <c r="U59" s="77"/>
      <c r="V59" s="77"/>
      <c r="W59" s="77"/>
      <c r="X59" s="77"/>
      <c r="Y59" s="77"/>
      <c r="Z59" s="77"/>
    </row>
    <row r="60">
      <c r="A60" s="105" t="s">
        <v>338</v>
      </c>
      <c r="B60" s="86">
        <v>2025.0</v>
      </c>
      <c r="C60" s="86" t="s">
        <v>339</v>
      </c>
      <c r="D60" s="86" t="s">
        <v>340</v>
      </c>
      <c r="E60" s="90" t="s">
        <v>41</v>
      </c>
      <c r="F60" s="116" t="s">
        <v>341</v>
      </c>
      <c r="G60" s="90" t="s">
        <v>198</v>
      </c>
      <c r="H60" s="91">
        <v>0.0</v>
      </c>
      <c r="I60" s="91">
        <v>0.0</v>
      </c>
      <c r="J60" s="91">
        <v>1.0</v>
      </c>
      <c r="K60" s="91">
        <v>0.0</v>
      </c>
      <c r="L60" s="91">
        <v>1.0</v>
      </c>
      <c r="M60" s="91">
        <v>0.0</v>
      </c>
      <c r="N60" s="91">
        <v>1.0</v>
      </c>
      <c r="O60" s="91">
        <v>1.0</v>
      </c>
      <c r="P60" s="91">
        <v>0.0</v>
      </c>
      <c r="Q60" s="77"/>
      <c r="R60" s="77"/>
      <c r="S60" s="77"/>
      <c r="T60" s="77"/>
      <c r="U60" s="77"/>
      <c r="V60" s="77"/>
      <c r="W60" s="77"/>
      <c r="X60" s="77"/>
      <c r="Y60" s="77"/>
      <c r="Z60" s="77"/>
    </row>
    <row r="61">
      <c r="A61" s="105" t="s">
        <v>343</v>
      </c>
      <c r="B61" s="86">
        <v>2022.0</v>
      </c>
      <c r="C61" s="86" t="s">
        <v>344</v>
      </c>
      <c r="D61" s="86" t="s">
        <v>345</v>
      </c>
      <c r="E61" s="90" t="s">
        <v>215</v>
      </c>
      <c r="F61" s="121" t="s">
        <v>346</v>
      </c>
      <c r="G61" s="90" t="s">
        <v>198</v>
      </c>
      <c r="H61" s="91">
        <v>0.0</v>
      </c>
      <c r="I61" s="91">
        <v>0.0</v>
      </c>
      <c r="J61" s="91">
        <v>1.0</v>
      </c>
      <c r="K61" s="91">
        <v>0.0</v>
      </c>
      <c r="L61" s="91">
        <v>1.0</v>
      </c>
      <c r="M61" s="91">
        <v>0.0</v>
      </c>
      <c r="N61" s="91">
        <v>1.0</v>
      </c>
      <c r="O61" s="91">
        <v>1.0</v>
      </c>
      <c r="P61" s="91">
        <v>0.0</v>
      </c>
      <c r="Q61" s="77"/>
      <c r="R61" s="77"/>
      <c r="S61" s="77"/>
      <c r="T61" s="77"/>
      <c r="U61" s="77"/>
      <c r="V61" s="77"/>
      <c r="W61" s="77"/>
      <c r="X61" s="77"/>
      <c r="Y61" s="77"/>
      <c r="Z61" s="77"/>
    </row>
    <row r="62">
      <c r="A62" s="105" t="s">
        <v>347</v>
      </c>
      <c r="B62" s="86">
        <v>2022.0</v>
      </c>
      <c r="C62" s="86" t="s">
        <v>348</v>
      </c>
      <c r="D62" s="86" t="s">
        <v>349</v>
      </c>
      <c r="E62" s="90" t="s">
        <v>215</v>
      </c>
      <c r="F62" s="121" t="s">
        <v>350</v>
      </c>
      <c r="G62" s="90" t="s">
        <v>198</v>
      </c>
      <c r="H62" s="91">
        <v>0.0</v>
      </c>
      <c r="I62" s="91">
        <v>0.0</v>
      </c>
      <c r="J62" s="91">
        <v>1.0</v>
      </c>
      <c r="K62" s="91">
        <v>0.0</v>
      </c>
      <c r="L62" s="91">
        <v>1.0</v>
      </c>
      <c r="M62" s="91">
        <v>0.0</v>
      </c>
      <c r="N62" s="91">
        <v>1.0</v>
      </c>
      <c r="O62" s="91">
        <v>1.0</v>
      </c>
      <c r="P62" s="91">
        <v>0.0</v>
      </c>
      <c r="Q62" s="77"/>
      <c r="R62" s="77"/>
      <c r="S62" s="77"/>
      <c r="T62" s="77"/>
      <c r="U62" s="77"/>
      <c r="V62" s="77"/>
      <c r="W62" s="77"/>
      <c r="X62" s="77"/>
      <c r="Y62" s="77"/>
      <c r="Z62" s="77"/>
    </row>
    <row r="63">
      <c r="A63" s="122" t="s">
        <v>351</v>
      </c>
      <c r="B63" s="118">
        <v>2024.0</v>
      </c>
      <c r="C63" s="119" t="s">
        <v>352</v>
      </c>
      <c r="D63" s="122" t="s">
        <v>353</v>
      </c>
      <c r="E63" s="26" t="s">
        <v>132</v>
      </c>
      <c r="F63" s="76" t="s">
        <v>354</v>
      </c>
      <c r="G63" s="52" t="s">
        <v>198</v>
      </c>
      <c r="H63" s="91">
        <v>0.0</v>
      </c>
      <c r="I63" s="91">
        <v>0.0</v>
      </c>
      <c r="J63" s="91">
        <v>0.0</v>
      </c>
      <c r="K63" s="91">
        <v>0.0</v>
      </c>
      <c r="L63" s="91">
        <v>0.0</v>
      </c>
      <c r="M63" s="91">
        <v>0.0</v>
      </c>
      <c r="N63" s="91">
        <v>1.0</v>
      </c>
      <c r="O63" s="91">
        <v>0.0</v>
      </c>
      <c r="P63" s="91">
        <v>1.0</v>
      </c>
      <c r="Q63" s="77"/>
      <c r="R63" s="77"/>
      <c r="S63" s="77"/>
      <c r="T63" s="77"/>
      <c r="U63" s="77"/>
      <c r="V63" s="77"/>
      <c r="W63" s="77"/>
      <c r="X63" s="77"/>
      <c r="Y63" s="77"/>
      <c r="Z63" s="77"/>
    </row>
    <row r="64">
      <c r="A64" s="122" t="s">
        <v>356</v>
      </c>
      <c r="B64" s="118">
        <v>2014.0</v>
      </c>
      <c r="C64" s="122" t="s">
        <v>357</v>
      </c>
      <c r="D64" s="122" t="s">
        <v>358</v>
      </c>
      <c r="E64" s="38" t="s">
        <v>359</v>
      </c>
      <c r="F64" s="78" t="s">
        <v>360</v>
      </c>
      <c r="G64" s="52" t="s">
        <v>337</v>
      </c>
      <c r="H64" s="91">
        <v>1.0</v>
      </c>
      <c r="I64" s="91">
        <v>0.0</v>
      </c>
      <c r="J64" s="91">
        <v>0.0</v>
      </c>
      <c r="K64" s="91">
        <v>1.0</v>
      </c>
      <c r="L64" s="91">
        <v>1.0</v>
      </c>
      <c r="M64" s="91">
        <v>0.0</v>
      </c>
      <c r="N64" s="91">
        <v>0.0</v>
      </c>
      <c r="O64" s="91">
        <v>1.0</v>
      </c>
      <c r="P64" s="91">
        <v>0.0</v>
      </c>
      <c r="Q64" s="77"/>
      <c r="R64" s="77"/>
      <c r="S64" s="77"/>
      <c r="T64" s="77"/>
      <c r="U64" s="77"/>
      <c r="V64" s="77"/>
      <c r="W64" s="77"/>
      <c r="X64" s="77"/>
      <c r="Y64" s="77"/>
      <c r="Z64" s="77"/>
    </row>
    <row r="65">
      <c r="A65" s="122" t="s">
        <v>361</v>
      </c>
      <c r="B65" s="118">
        <v>2023.0</v>
      </c>
      <c r="C65" s="122" t="s">
        <v>362</v>
      </c>
      <c r="D65" s="122" t="s">
        <v>363</v>
      </c>
      <c r="E65" s="52" t="s">
        <v>2</v>
      </c>
      <c r="F65" s="78" t="s">
        <v>364</v>
      </c>
      <c r="G65" s="52" t="s">
        <v>198</v>
      </c>
      <c r="H65" s="91">
        <v>0.0</v>
      </c>
      <c r="I65" s="91">
        <v>0.0</v>
      </c>
      <c r="J65" s="91">
        <v>1.0</v>
      </c>
      <c r="K65" s="91">
        <v>1.0</v>
      </c>
      <c r="L65" s="91">
        <v>1.0</v>
      </c>
      <c r="M65" s="91">
        <v>0.0</v>
      </c>
      <c r="N65" s="91">
        <v>1.0</v>
      </c>
      <c r="O65" s="91">
        <v>0.0</v>
      </c>
      <c r="P65" s="91">
        <v>1.0</v>
      </c>
      <c r="Q65" s="77"/>
      <c r="R65" s="77"/>
      <c r="S65" s="77"/>
      <c r="T65" s="77"/>
      <c r="U65" s="77"/>
      <c r="V65" s="77"/>
      <c r="W65" s="77"/>
      <c r="X65" s="77"/>
      <c r="Y65" s="77"/>
      <c r="Z65" s="77"/>
    </row>
    <row r="66">
      <c r="A66" s="122" t="s">
        <v>365</v>
      </c>
      <c r="B66" s="118">
        <v>2024.0</v>
      </c>
      <c r="C66" s="122" t="s">
        <v>366</v>
      </c>
      <c r="D66" s="122" t="s">
        <v>367</v>
      </c>
      <c r="E66" s="52" t="s">
        <v>2</v>
      </c>
      <c r="F66" s="78" t="s">
        <v>368</v>
      </c>
      <c r="G66" s="52" t="s">
        <v>198</v>
      </c>
      <c r="H66" s="91">
        <v>1.0</v>
      </c>
      <c r="I66" s="91">
        <v>1.0</v>
      </c>
      <c r="J66" s="91">
        <v>1.0</v>
      </c>
      <c r="K66" s="91">
        <v>1.0</v>
      </c>
      <c r="L66" s="91">
        <v>1.0</v>
      </c>
      <c r="M66" s="91">
        <v>0.0</v>
      </c>
      <c r="N66" s="91">
        <v>1.0</v>
      </c>
      <c r="O66" s="91">
        <v>1.0</v>
      </c>
      <c r="P66" s="91">
        <v>0.0</v>
      </c>
      <c r="Q66" s="77"/>
      <c r="R66" s="77"/>
      <c r="S66" s="77"/>
      <c r="T66" s="77"/>
      <c r="U66" s="77"/>
      <c r="V66" s="77"/>
      <c r="W66" s="77"/>
      <c r="X66" s="77"/>
      <c r="Y66" s="77"/>
      <c r="Z66" s="77"/>
    </row>
    <row r="67">
      <c r="A67" s="122" t="s">
        <v>369</v>
      </c>
      <c r="B67" s="118">
        <v>2024.0</v>
      </c>
      <c r="C67" s="122" t="s">
        <v>370</v>
      </c>
      <c r="D67" s="122" t="s">
        <v>371</v>
      </c>
      <c r="E67" s="52" t="s">
        <v>393</v>
      </c>
      <c r="F67" s="78" t="s">
        <v>372</v>
      </c>
      <c r="G67" s="52" t="s">
        <v>198</v>
      </c>
      <c r="H67" s="91">
        <v>1.0</v>
      </c>
      <c r="I67" s="91">
        <v>1.0</v>
      </c>
      <c r="J67" s="91">
        <v>1.0</v>
      </c>
      <c r="K67" s="91">
        <v>1.0</v>
      </c>
      <c r="L67" s="91">
        <v>1.0</v>
      </c>
      <c r="M67" s="91">
        <v>0.0</v>
      </c>
      <c r="N67" s="91">
        <v>1.0</v>
      </c>
      <c r="O67" s="91">
        <v>0.0</v>
      </c>
      <c r="P67" s="91">
        <v>1.0</v>
      </c>
      <c r="Q67" s="77"/>
      <c r="R67" s="77"/>
      <c r="S67" s="77"/>
      <c r="T67" s="77"/>
      <c r="U67" s="77"/>
      <c r="V67" s="77"/>
      <c r="W67" s="77"/>
      <c r="X67" s="77"/>
      <c r="Y67" s="77"/>
      <c r="Z67" s="77"/>
    </row>
    <row r="68">
      <c r="A68" s="122" t="s">
        <v>373</v>
      </c>
      <c r="B68" s="118">
        <v>2024.0</v>
      </c>
      <c r="C68" s="122" t="s">
        <v>374</v>
      </c>
      <c r="D68" s="122" t="s">
        <v>375</v>
      </c>
      <c r="E68" s="52" t="s">
        <v>46</v>
      </c>
      <c r="F68" s="78" t="s">
        <v>376</v>
      </c>
      <c r="G68" s="52" t="s">
        <v>337</v>
      </c>
      <c r="H68" s="91">
        <v>0.0</v>
      </c>
      <c r="I68" s="91">
        <v>0.0</v>
      </c>
      <c r="J68" s="91">
        <v>0.0</v>
      </c>
      <c r="K68" s="91">
        <v>1.0</v>
      </c>
      <c r="L68" s="91">
        <v>1.0</v>
      </c>
      <c r="M68" s="91">
        <v>0.0</v>
      </c>
      <c r="N68" s="91">
        <v>1.0</v>
      </c>
      <c r="O68" s="91">
        <v>0.0</v>
      </c>
      <c r="P68" s="91">
        <v>1.0</v>
      </c>
      <c r="Q68" s="77"/>
      <c r="R68" s="77"/>
      <c r="S68" s="77"/>
      <c r="T68" s="77"/>
      <c r="U68" s="77"/>
      <c r="V68" s="77"/>
      <c r="W68" s="77"/>
      <c r="X68" s="77"/>
      <c r="Y68" s="77"/>
      <c r="Z68" s="77"/>
    </row>
    <row r="69">
      <c r="A69" s="122" t="s">
        <v>377</v>
      </c>
      <c r="B69" s="118">
        <v>2022.0</v>
      </c>
      <c r="C69" s="122" t="s">
        <v>378</v>
      </c>
      <c r="D69" s="122" t="s">
        <v>379</v>
      </c>
      <c r="E69" s="52" t="s">
        <v>41</v>
      </c>
      <c r="F69" s="78" t="s">
        <v>380</v>
      </c>
      <c r="G69" s="52" t="s">
        <v>198</v>
      </c>
      <c r="H69" s="91">
        <v>0.0</v>
      </c>
      <c r="I69" s="91">
        <v>0.0</v>
      </c>
      <c r="J69" s="91">
        <v>0.0</v>
      </c>
      <c r="K69" s="91">
        <v>1.0</v>
      </c>
      <c r="L69" s="91">
        <v>1.0</v>
      </c>
      <c r="M69" s="91">
        <v>0.0</v>
      </c>
      <c r="N69" s="91">
        <v>0.0</v>
      </c>
      <c r="O69" s="91">
        <v>0.0</v>
      </c>
      <c r="P69" s="91">
        <v>1.0</v>
      </c>
      <c r="Q69" s="77"/>
      <c r="R69" s="77"/>
      <c r="S69" s="77"/>
      <c r="T69" s="77"/>
      <c r="U69" s="77"/>
      <c r="V69" s="77"/>
      <c r="W69" s="77"/>
      <c r="X69" s="77"/>
      <c r="Y69" s="77"/>
      <c r="Z69" s="77"/>
    </row>
    <row r="70">
      <c r="A70" s="122" t="s">
        <v>381</v>
      </c>
      <c r="B70" s="118">
        <v>2024.0</v>
      </c>
      <c r="C70" s="122" t="s">
        <v>382</v>
      </c>
      <c r="D70" s="122" t="s">
        <v>383</v>
      </c>
      <c r="E70" s="52" t="s">
        <v>384</v>
      </c>
      <c r="F70" s="78" t="s">
        <v>385</v>
      </c>
      <c r="G70" s="52" t="s">
        <v>198</v>
      </c>
      <c r="H70" s="91">
        <v>1.0</v>
      </c>
      <c r="I70" s="91">
        <v>0.0</v>
      </c>
      <c r="J70" s="91">
        <v>1.0</v>
      </c>
      <c r="K70" s="91">
        <v>1.0</v>
      </c>
      <c r="L70" s="91">
        <v>1.0</v>
      </c>
      <c r="M70" s="91">
        <v>0.0</v>
      </c>
      <c r="N70" s="91">
        <v>0.0</v>
      </c>
      <c r="O70" s="91">
        <v>1.0</v>
      </c>
      <c r="P70" s="91">
        <v>0.0</v>
      </c>
      <c r="Q70" s="77"/>
      <c r="R70" s="77"/>
      <c r="S70" s="77"/>
      <c r="T70" s="77"/>
      <c r="U70" s="77"/>
      <c r="V70" s="77"/>
      <c r="W70" s="77"/>
      <c r="X70" s="77"/>
      <c r="Y70" s="77"/>
      <c r="Z70" s="77"/>
    </row>
    <row r="71">
      <c r="A71" s="122" t="s">
        <v>386</v>
      </c>
      <c r="B71" s="118">
        <v>2025.0</v>
      </c>
      <c r="C71" s="122" t="s">
        <v>387</v>
      </c>
      <c r="D71" s="122" t="s">
        <v>388</v>
      </c>
      <c r="E71" s="52" t="s">
        <v>215</v>
      </c>
      <c r="F71" s="78" t="s">
        <v>389</v>
      </c>
      <c r="G71" s="52" t="s">
        <v>274</v>
      </c>
      <c r="H71" s="91">
        <v>1.0</v>
      </c>
      <c r="I71" s="91">
        <v>1.0</v>
      </c>
      <c r="J71" s="91">
        <v>1.0</v>
      </c>
      <c r="K71" s="91">
        <v>1.0</v>
      </c>
      <c r="L71" s="91">
        <v>1.0</v>
      </c>
      <c r="M71" s="91">
        <v>0.0</v>
      </c>
      <c r="N71" s="91">
        <v>1.0</v>
      </c>
      <c r="O71" s="91">
        <v>0.0</v>
      </c>
      <c r="P71" s="91">
        <v>1.0</v>
      </c>
      <c r="Q71" s="77"/>
      <c r="R71" s="77"/>
      <c r="S71" s="77"/>
      <c r="T71" s="77"/>
      <c r="U71" s="77"/>
      <c r="V71" s="77"/>
      <c r="W71" s="77"/>
      <c r="X71" s="77"/>
      <c r="Y71" s="77"/>
      <c r="Z71" s="77"/>
    </row>
    <row r="72">
      <c r="A72" s="122" t="s">
        <v>390</v>
      </c>
      <c r="B72" s="118">
        <v>2023.0</v>
      </c>
      <c r="C72" s="122" t="s">
        <v>391</v>
      </c>
      <c r="D72" s="122" t="s">
        <v>392</v>
      </c>
      <c r="E72" s="70" t="s">
        <v>51</v>
      </c>
      <c r="F72" s="78" t="s">
        <v>394</v>
      </c>
      <c r="G72" s="52" t="s">
        <v>198</v>
      </c>
      <c r="H72" s="91">
        <v>1.0</v>
      </c>
      <c r="I72" s="91">
        <v>0.0</v>
      </c>
      <c r="J72" s="91">
        <v>1.0</v>
      </c>
      <c r="K72" s="91">
        <v>1.0</v>
      </c>
      <c r="L72" s="91">
        <v>1.0</v>
      </c>
      <c r="M72" s="91">
        <v>0.0</v>
      </c>
      <c r="N72" s="91">
        <v>0.0</v>
      </c>
      <c r="O72" s="91">
        <v>0.0</v>
      </c>
      <c r="P72" s="91">
        <v>1.0</v>
      </c>
      <c r="Q72" s="77"/>
      <c r="R72" s="77"/>
      <c r="S72" s="77"/>
      <c r="T72" s="77"/>
      <c r="U72" s="77"/>
      <c r="V72" s="77"/>
      <c r="W72" s="77"/>
      <c r="X72" s="77"/>
      <c r="Y72" s="77"/>
      <c r="Z72" s="77"/>
    </row>
    <row r="73">
      <c r="A73" s="122" t="s">
        <v>396</v>
      </c>
      <c r="B73" s="118">
        <v>2021.0</v>
      </c>
      <c r="C73" s="122" t="s">
        <v>397</v>
      </c>
      <c r="D73" s="122" t="s">
        <v>398</v>
      </c>
      <c r="E73" s="52" t="s">
        <v>399</v>
      </c>
      <c r="F73" s="78" t="s">
        <v>400</v>
      </c>
      <c r="G73" s="52" t="s">
        <v>337</v>
      </c>
      <c r="H73" s="91">
        <v>1.0</v>
      </c>
      <c r="I73" s="91">
        <v>0.0</v>
      </c>
      <c r="J73" s="91">
        <v>0.0</v>
      </c>
      <c r="K73" s="91">
        <v>1.0</v>
      </c>
      <c r="L73" s="91">
        <v>1.0</v>
      </c>
      <c r="M73" s="91">
        <v>0.0</v>
      </c>
      <c r="N73" s="91">
        <v>0.0</v>
      </c>
      <c r="O73" s="91">
        <v>0.0</v>
      </c>
      <c r="P73" s="91">
        <v>1.0</v>
      </c>
      <c r="Q73" s="77"/>
      <c r="R73" s="77"/>
      <c r="S73" s="77"/>
      <c r="T73" s="77"/>
      <c r="U73" s="77"/>
      <c r="V73" s="77"/>
      <c r="W73" s="77"/>
      <c r="X73" s="77"/>
      <c r="Y73" s="77"/>
      <c r="Z73" s="77"/>
    </row>
    <row r="74">
      <c r="A74" s="122" t="s">
        <v>401</v>
      </c>
      <c r="B74" s="118">
        <v>2023.0</v>
      </c>
      <c r="C74" s="122" t="s">
        <v>402</v>
      </c>
      <c r="D74" s="122" t="s">
        <v>403</v>
      </c>
      <c r="E74" s="70" t="s">
        <v>51</v>
      </c>
      <c r="F74" s="78" t="s">
        <v>404</v>
      </c>
      <c r="G74" s="52" t="s">
        <v>198</v>
      </c>
      <c r="H74" s="91">
        <v>1.0</v>
      </c>
      <c r="I74" s="91">
        <v>0.0</v>
      </c>
      <c r="J74" s="91">
        <v>1.0</v>
      </c>
      <c r="K74" s="91">
        <v>1.0</v>
      </c>
      <c r="L74" s="91">
        <v>1.0</v>
      </c>
      <c r="M74" s="91">
        <v>0.0</v>
      </c>
      <c r="N74" s="91">
        <v>1.0</v>
      </c>
      <c r="O74" s="91">
        <v>0.0</v>
      </c>
      <c r="P74" s="91">
        <v>1.0</v>
      </c>
      <c r="Q74" s="77"/>
      <c r="R74" s="77"/>
      <c r="S74" s="77"/>
      <c r="T74" s="77"/>
      <c r="U74" s="77"/>
      <c r="V74" s="77"/>
      <c r="W74" s="77"/>
      <c r="X74" s="77"/>
      <c r="Y74" s="77"/>
      <c r="Z74" s="77"/>
    </row>
    <row r="75">
      <c r="A75" s="122" t="s">
        <v>405</v>
      </c>
      <c r="B75" s="118">
        <v>2024.0</v>
      </c>
      <c r="C75" s="122" t="s">
        <v>406</v>
      </c>
      <c r="D75" s="122" t="s">
        <v>407</v>
      </c>
      <c r="E75" s="26" t="s">
        <v>132</v>
      </c>
      <c r="F75" s="78" t="s">
        <v>408</v>
      </c>
      <c r="G75" s="52" t="s">
        <v>198</v>
      </c>
      <c r="H75" s="91">
        <v>1.0</v>
      </c>
      <c r="I75" s="91">
        <v>1.0</v>
      </c>
      <c r="J75" s="91">
        <v>1.0</v>
      </c>
      <c r="K75" s="91">
        <v>1.0</v>
      </c>
      <c r="L75" s="91">
        <v>1.0</v>
      </c>
      <c r="M75" s="91">
        <v>0.0</v>
      </c>
      <c r="N75" s="91">
        <v>1.0</v>
      </c>
      <c r="O75" s="91">
        <v>1.0</v>
      </c>
      <c r="P75" s="91">
        <v>0.0</v>
      </c>
      <c r="Q75" s="77"/>
      <c r="R75" s="77"/>
      <c r="S75" s="77"/>
      <c r="T75" s="77"/>
      <c r="U75" s="77"/>
      <c r="V75" s="77"/>
      <c r="W75" s="77"/>
      <c r="X75" s="77"/>
      <c r="Y75" s="77"/>
      <c r="Z75" s="77"/>
    </row>
    <row r="76">
      <c r="A76" s="122" t="s">
        <v>409</v>
      </c>
      <c r="B76" s="118">
        <v>2024.0</v>
      </c>
      <c r="C76" s="122" t="s">
        <v>410</v>
      </c>
      <c r="D76" s="122" t="s">
        <v>411</v>
      </c>
      <c r="E76" s="52" t="s">
        <v>650</v>
      </c>
      <c r="F76" s="78" t="s">
        <v>412</v>
      </c>
      <c r="G76" s="52" t="s">
        <v>198</v>
      </c>
      <c r="H76" s="91">
        <v>0.0</v>
      </c>
      <c r="I76" s="91">
        <v>1.0</v>
      </c>
      <c r="J76" s="91">
        <v>1.0</v>
      </c>
      <c r="K76" s="91">
        <v>1.0</v>
      </c>
      <c r="L76" s="91">
        <v>0.0</v>
      </c>
      <c r="M76" s="91">
        <v>0.0</v>
      </c>
      <c r="N76" s="91">
        <v>1.0</v>
      </c>
      <c r="O76" s="91">
        <v>0.0</v>
      </c>
      <c r="P76" s="91">
        <v>1.0</v>
      </c>
      <c r="Q76" s="77"/>
      <c r="R76" s="77"/>
      <c r="S76" s="77"/>
      <c r="T76" s="77"/>
      <c r="U76" s="77"/>
      <c r="V76" s="77"/>
      <c r="W76" s="77"/>
      <c r="X76" s="77"/>
      <c r="Y76" s="77"/>
      <c r="Z76" s="77"/>
    </row>
    <row r="77">
      <c r="A77" s="122" t="s">
        <v>413</v>
      </c>
      <c r="B77" s="118">
        <v>2021.0</v>
      </c>
      <c r="C77" s="122" t="s">
        <v>414</v>
      </c>
      <c r="D77" s="122" t="s">
        <v>415</v>
      </c>
      <c r="E77" s="52" t="s">
        <v>2</v>
      </c>
      <c r="F77" s="78" t="s">
        <v>416</v>
      </c>
      <c r="G77" s="52" t="s">
        <v>417</v>
      </c>
      <c r="H77" s="91">
        <v>0.0</v>
      </c>
      <c r="I77" s="91">
        <v>1.0</v>
      </c>
      <c r="J77" s="91">
        <v>1.0</v>
      </c>
      <c r="K77" s="91">
        <v>1.0</v>
      </c>
      <c r="L77" s="91">
        <v>0.0</v>
      </c>
      <c r="M77" s="91">
        <v>0.0</v>
      </c>
      <c r="N77" s="91">
        <v>1.0</v>
      </c>
      <c r="O77" s="91">
        <v>0.0</v>
      </c>
      <c r="P77" s="91">
        <v>1.0</v>
      </c>
      <c r="Q77" s="77"/>
      <c r="R77" s="77"/>
      <c r="S77" s="77"/>
      <c r="T77" s="77"/>
      <c r="U77" s="77"/>
      <c r="V77" s="77"/>
      <c r="W77" s="77"/>
      <c r="X77" s="77"/>
      <c r="Y77" s="77"/>
      <c r="Z77" s="77"/>
    </row>
    <row r="78">
      <c r="A78" s="122" t="s">
        <v>418</v>
      </c>
      <c r="B78" s="118">
        <v>2025.0</v>
      </c>
      <c r="C78" s="122" t="s">
        <v>419</v>
      </c>
      <c r="D78" s="122" t="s">
        <v>420</v>
      </c>
      <c r="E78" s="26" t="s">
        <v>132</v>
      </c>
      <c r="F78" s="78" t="s">
        <v>421</v>
      </c>
      <c r="G78" s="52" t="s">
        <v>198</v>
      </c>
      <c r="H78" s="91">
        <v>1.0</v>
      </c>
      <c r="I78" s="91">
        <v>1.0</v>
      </c>
      <c r="J78" s="91">
        <v>1.0</v>
      </c>
      <c r="K78" s="91">
        <v>1.0</v>
      </c>
      <c r="L78" s="91">
        <v>0.0</v>
      </c>
      <c r="M78" s="91">
        <v>0.0</v>
      </c>
      <c r="N78" s="91">
        <v>1.0</v>
      </c>
      <c r="O78" s="91">
        <v>0.0</v>
      </c>
      <c r="P78" s="91">
        <v>1.0</v>
      </c>
      <c r="Q78" s="77"/>
      <c r="R78" s="77"/>
      <c r="S78" s="77"/>
      <c r="T78" s="77"/>
      <c r="U78" s="77"/>
      <c r="V78" s="77"/>
      <c r="W78" s="77"/>
      <c r="X78" s="77"/>
      <c r="Y78" s="77"/>
      <c r="Z78" s="77"/>
    </row>
    <row r="79" ht="22.5" customHeight="1">
      <c r="A79" s="70" t="s">
        <v>422</v>
      </c>
      <c r="B79" s="118">
        <v>2023.0</v>
      </c>
      <c r="C79" s="122" t="s">
        <v>423</v>
      </c>
      <c r="D79" s="119" t="s">
        <v>424</v>
      </c>
      <c r="E79" s="52" t="s">
        <v>2</v>
      </c>
      <c r="F79" s="78" t="s">
        <v>425</v>
      </c>
      <c r="G79" s="52" t="s">
        <v>417</v>
      </c>
      <c r="H79" s="91">
        <v>0.0</v>
      </c>
      <c r="I79" s="91">
        <v>1.0</v>
      </c>
      <c r="J79" s="91">
        <v>1.0</v>
      </c>
      <c r="K79" s="91">
        <v>1.0</v>
      </c>
      <c r="L79" s="91">
        <v>1.0</v>
      </c>
      <c r="M79" s="91">
        <v>0.0</v>
      </c>
      <c r="N79" s="91">
        <v>1.0</v>
      </c>
      <c r="O79" s="91">
        <v>1.0</v>
      </c>
      <c r="P79" s="91">
        <v>0.0</v>
      </c>
      <c r="Q79" s="77"/>
      <c r="R79" s="77"/>
      <c r="S79" s="77"/>
      <c r="T79" s="77"/>
      <c r="U79" s="77"/>
      <c r="V79" s="77"/>
      <c r="W79" s="77"/>
      <c r="X79" s="77"/>
      <c r="Y79" s="77"/>
      <c r="Z79" s="77"/>
    </row>
    <row r="80">
      <c r="A80" s="122" t="s">
        <v>426</v>
      </c>
      <c r="B80" s="118">
        <v>2024.0</v>
      </c>
      <c r="C80" s="122" t="s">
        <v>427</v>
      </c>
      <c r="D80" s="122" t="s">
        <v>428</v>
      </c>
      <c r="E80" s="52" t="s">
        <v>41</v>
      </c>
      <c r="F80" s="78" t="s">
        <v>429</v>
      </c>
      <c r="G80" s="52" t="s">
        <v>198</v>
      </c>
      <c r="H80" s="91">
        <v>0.0</v>
      </c>
      <c r="I80" s="91">
        <v>0.0</v>
      </c>
      <c r="J80" s="91">
        <v>1.0</v>
      </c>
      <c r="K80" s="91">
        <v>1.0</v>
      </c>
      <c r="L80" s="91">
        <v>1.0</v>
      </c>
      <c r="M80" s="91">
        <v>0.0</v>
      </c>
      <c r="N80" s="91">
        <v>1.0</v>
      </c>
      <c r="O80" s="91">
        <v>0.0</v>
      </c>
      <c r="P80" s="91">
        <v>1.0</v>
      </c>
      <c r="Q80" s="77"/>
      <c r="R80" s="77"/>
      <c r="S80" s="77"/>
      <c r="T80" s="77"/>
      <c r="U80" s="77"/>
      <c r="V80" s="77"/>
      <c r="W80" s="77"/>
      <c r="X80" s="77"/>
      <c r="Y80" s="77"/>
      <c r="Z80" s="77"/>
    </row>
    <row r="81">
      <c r="A81" s="123" t="s">
        <v>275</v>
      </c>
      <c r="B81" s="124">
        <v>2025.0</v>
      </c>
      <c r="C81" s="123" t="s">
        <v>276</v>
      </c>
      <c r="D81" s="123" t="s">
        <v>277</v>
      </c>
      <c r="E81" s="125" t="s">
        <v>651</v>
      </c>
      <c r="F81" s="66" t="s">
        <v>279</v>
      </c>
      <c r="G81" s="90" t="s">
        <v>280</v>
      </c>
      <c r="H81" s="126">
        <v>0.0</v>
      </c>
      <c r="I81" s="127">
        <v>1.0</v>
      </c>
      <c r="J81" s="127">
        <v>1.0</v>
      </c>
      <c r="K81" s="127">
        <v>1.0</v>
      </c>
      <c r="L81" s="127">
        <v>0.0</v>
      </c>
      <c r="M81" s="127">
        <v>1.0</v>
      </c>
      <c r="N81" s="127">
        <v>1.0</v>
      </c>
      <c r="O81" s="127">
        <v>1.0</v>
      </c>
      <c r="P81" s="127">
        <v>0.0</v>
      </c>
      <c r="Q81" s="77"/>
      <c r="R81" s="77"/>
      <c r="S81" s="77"/>
      <c r="T81" s="77"/>
      <c r="U81" s="77"/>
      <c r="V81" s="77"/>
      <c r="W81" s="77"/>
      <c r="X81" s="77"/>
      <c r="Y81" s="77"/>
      <c r="Z81" s="77"/>
    </row>
    <row r="82">
      <c r="A82" s="128" t="s">
        <v>282</v>
      </c>
      <c r="B82" s="129">
        <v>2025.0</v>
      </c>
      <c r="C82" s="128" t="s">
        <v>283</v>
      </c>
      <c r="D82" s="128" t="s">
        <v>284</v>
      </c>
      <c r="E82" s="64" t="s">
        <v>652</v>
      </c>
      <c r="F82" s="66" t="s">
        <v>285</v>
      </c>
      <c r="G82" s="5" t="s">
        <v>37</v>
      </c>
      <c r="H82" s="130">
        <v>0.0</v>
      </c>
      <c r="I82" s="91">
        <v>1.0</v>
      </c>
      <c r="J82" s="91">
        <v>0.0</v>
      </c>
      <c r="K82" s="91">
        <v>0.0</v>
      </c>
      <c r="L82" s="91">
        <v>0.0</v>
      </c>
      <c r="M82" s="91">
        <v>1.0</v>
      </c>
      <c r="N82" s="91">
        <v>1.0</v>
      </c>
      <c r="O82" s="91">
        <v>0.0</v>
      </c>
      <c r="P82" s="91">
        <v>1.0</v>
      </c>
      <c r="Q82" s="77"/>
      <c r="R82" s="77"/>
      <c r="S82" s="77"/>
      <c r="T82" s="77"/>
      <c r="U82" s="77"/>
      <c r="V82" s="77"/>
      <c r="W82" s="77"/>
      <c r="X82" s="77"/>
      <c r="Y82" s="77"/>
      <c r="Z82" s="77"/>
    </row>
    <row r="83">
      <c r="A83" s="128" t="s">
        <v>286</v>
      </c>
      <c r="B83" s="129">
        <v>2020.0</v>
      </c>
      <c r="C83" s="128" t="s">
        <v>287</v>
      </c>
      <c r="D83" s="128" t="s">
        <v>288</v>
      </c>
      <c r="E83" s="64" t="s">
        <v>653</v>
      </c>
      <c r="F83" s="66" t="s">
        <v>289</v>
      </c>
      <c r="G83" s="5" t="s">
        <v>37</v>
      </c>
      <c r="H83" s="130">
        <v>0.0</v>
      </c>
      <c r="I83" s="91">
        <v>1.0</v>
      </c>
      <c r="J83" s="91">
        <v>1.0</v>
      </c>
      <c r="K83" s="91">
        <v>0.0</v>
      </c>
      <c r="L83" s="91">
        <v>0.0</v>
      </c>
      <c r="M83" s="91">
        <v>1.0</v>
      </c>
      <c r="N83" s="91">
        <v>0.0</v>
      </c>
      <c r="O83" s="91">
        <v>0.0</v>
      </c>
      <c r="P83" s="91">
        <v>1.0</v>
      </c>
      <c r="Q83" s="77"/>
      <c r="R83" s="77"/>
      <c r="S83" s="77"/>
      <c r="T83" s="77"/>
      <c r="U83" s="77"/>
      <c r="V83" s="77"/>
      <c r="W83" s="77"/>
      <c r="X83" s="77"/>
      <c r="Y83" s="77"/>
      <c r="Z83" s="77"/>
    </row>
    <row r="84">
      <c r="A84" s="128" t="s">
        <v>290</v>
      </c>
      <c r="B84" s="129">
        <v>2016.0</v>
      </c>
      <c r="C84" s="128" t="s">
        <v>291</v>
      </c>
      <c r="D84" s="128" t="s">
        <v>292</v>
      </c>
      <c r="E84" s="64" t="s">
        <v>654</v>
      </c>
      <c r="F84" s="66" t="s">
        <v>293</v>
      </c>
      <c r="G84" s="5" t="s">
        <v>280</v>
      </c>
      <c r="H84" s="130">
        <v>0.0</v>
      </c>
      <c r="I84" s="91">
        <v>1.0</v>
      </c>
      <c r="J84" s="91">
        <v>1.0</v>
      </c>
      <c r="K84" s="91">
        <v>0.0</v>
      </c>
      <c r="L84" s="91">
        <v>0.0</v>
      </c>
      <c r="M84" s="91">
        <v>1.0</v>
      </c>
      <c r="N84" s="91">
        <v>1.0</v>
      </c>
      <c r="O84" s="91">
        <v>0.0</v>
      </c>
      <c r="P84" s="91">
        <v>1.0</v>
      </c>
      <c r="Q84" s="77"/>
      <c r="R84" s="77"/>
      <c r="S84" s="77"/>
      <c r="T84" s="77"/>
      <c r="U84" s="77"/>
      <c r="V84" s="77"/>
      <c r="W84" s="77"/>
      <c r="X84" s="77"/>
      <c r="Y84" s="77"/>
      <c r="Z84" s="77"/>
    </row>
    <row r="85">
      <c r="A85" s="123" t="s">
        <v>294</v>
      </c>
      <c r="B85" s="124">
        <v>2024.0</v>
      </c>
      <c r="C85" s="123" t="s">
        <v>295</v>
      </c>
      <c r="D85" s="123" t="s">
        <v>296</v>
      </c>
      <c r="E85" s="131" t="s">
        <v>647</v>
      </c>
      <c r="F85" s="66" t="s">
        <v>297</v>
      </c>
      <c r="G85" s="90" t="s">
        <v>37</v>
      </c>
      <c r="H85" s="126">
        <v>0.0</v>
      </c>
      <c r="I85" s="127">
        <v>1.0</v>
      </c>
      <c r="J85" s="127">
        <v>1.0</v>
      </c>
      <c r="K85" s="127">
        <v>1.0</v>
      </c>
      <c r="L85" s="127">
        <v>0.0</v>
      </c>
      <c r="M85" s="127">
        <v>1.0</v>
      </c>
      <c r="N85" s="127">
        <v>1.0</v>
      </c>
      <c r="O85" s="127">
        <v>1.0</v>
      </c>
      <c r="P85" s="127">
        <v>0.0</v>
      </c>
      <c r="Q85" s="77"/>
      <c r="R85" s="77"/>
      <c r="S85" s="77"/>
      <c r="T85" s="77"/>
      <c r="U85" s="77"/>
      <c r="V85" s="77"/>
      <c r="W85" s="77"/>
      <c r="X85" s="77"/>
      <c r="Y85" s="77"/>
      <c r="Z85" s="77"/>
    </row>
    <row r="86">
      <c r="A86" s="128" t="s">
        <v>298</v>
      </c>
      <c r="B86" s="129">
        <v>2025.0</v>
      </c>
      <c r="C86" s="128" t="s">
        <v>299</v>
      </c>
      <c r="D86" s="128" t="s">
        <v>300</v>
      </c>
      <c r="E86" s="64" t="s">
        <v>655</v>
      </c>
      <c r="F86" s="66" t="s">
        <v>301</v>
      </c>
      <c r="G86" s="5" t="s">
        <v>37</v>
      </c>
      <c r="H86" s="130">
        <v>0.0</v>
      </c>
      <c r="I86" s="91">
        <v>1.0</v>
      </c>
      <c r="J86" s="91">
        <v>0.0</v>
      </c>
      <c r="K86" s="91">
        <v>0.0</v>
      </c>
      <c r="L86" s="91">
        <v>0.0</v>
      </c>
      <c r="M86" s="91">
        <v>0.0</v>
      </c>
      <c r="N86" s="91">
        <v>1.0</v>
      </c>
      <c r="O86" s="91">
        <v>0.0</v>
      </c>
      <c r="P86" s="91">
        <v>1.0</v>
      </c>
      <c r="Q86" s="77"/>
      <c r="R86" s="77"/>
      <c r="S86" s="77"/>
      <c r="T86" s="77"/>
      <c r="U86" s="77"/>
      <c r="V86" s="77"/>
      <c r="W86" s="77"/>
      <c r="X86" s="77"/>
      <c r="Y86" s="77"/>
      <c r="Z86" s="77"/>
    </row>
    <row r="87">
      <c r="A87" s="123" t="s">
        <v>302</v>
      </c>
      <c r="B87" s="124">
        <v>2024.0</v>
      </c>
      <c r="C87" s="123" t="s">
        <v>303</v>
      </c>
      <c r="D87" s="123" t="s">
        <v>304</v>
      </c>
      <c r="E87" s="125" t="s">
        <v>651</v>
      </c>
      <c r="F87" s="67" t="s">
        <v>305</v>
      </c>
      <c r="G87" s="90" t="s">
        <v>280</v>
      </c>
      <c r="H87" s="126">
        <v>0.0</v>
      </c>
      <c r="I87" s="127">
        <v>1.0</v>
      </c>
      <c r="J87" s="127">
        <v>1.0</v>
      </c>
      <c r="K87" s="127">
        <v>1.0</v>
      </c>
      <c r="L87" s="127">
        <v>0.0</v>
      </c>
      <c r="M87" s="127">
        <v>1.0</v>
      </c>
      <c r="N87" s="127">
        <v>1.0</v>
      </c>
      <c r="O87" s="127">
        <v>1.0</v>
      </c>
      <c r="P87" s="127">
        <v>0.0</v>
      </c>
      <c r="Q87" s="77"/>
      <c r="R87" s="77"/>
      <c r="S87" s="77"/>
      <c r="T87" s="77"/>
      <c r="U87" s="77"/>
      <c r="V87" s="77"/>
      <c r="W87" s="77"/>
      <c r="X87" s="77"/>
      <c r="Y87" s="77"/>
      <c r="Z87" s="77"/>
    </row>
    <row r="88">
      <c r="A88" s="123" t="s">
        <v>306</v>
      </c>
      <c r="B88" s="124">
        <v>2025.0</v>
      </c>
      <c r="C88" s="123" t="s">
        <v>307</v>
      </c>
      <c r="D88" s="123" t="s">
        <v>308</v>
      </c>
      <c r="E88" s="125" t="s">
        <v>651</v>
      </c>
      <c r="F88" s="132" t="s">
        <v>309</v>
      </c>
      <c r="G88" s="90" t="s">
        <v>280</v>
      </c>
      <c r="H88" s="126">
        <v>0.0</v>
      </c>
      <c r="I88" s="127">
        <v>1.0</v>
      </c>
      <c r="J88" s="127">
        <v>1.0</v>
      </c>
      <c r="K88" s="127">
        <v>1.0</v>
      </c>
      <c r="L88" s="127">
        <v>0.0</v>
      </c>
      <c r="M88" s="127">
        <v>1.0</v>
      </c>
      <c r="N88" s="127">
        <v>1.0</v>
      </c>
      <c r="O88" s="127">
        <v>1.0</v>
      </c>
      <c r="P88" s="127">
        <v>0.0</v>
      </c>
      <c r="Q88" s="77"/>
      <c r="R88" s="77"/>
      <c r="S88" s="77"/>
      <c r="T88" s="77"/>
      <c r="U88" s="77"/>
      <c r="V88" s="77"/>
      <c r="W88" s="77"/>
      <c r="X88" s="77"/>
      <c r="Y88" s="77"/>
      <c r="Z88" s="77"/>
    </row>
    <row r="89">
      <c r="A89" s="128" t="s">
        <v>310</v>
      </c>
      <c r="B89" s="129">
        <v>2022.0</v>
      </c>
      <c r="C89" s="128" t="s">
        <v>311</v>
      </c>
      <c r="D89" s="128" t="s">
        <v>312</v>
      </c>
      <c r="E89" s="64" t="s">
        <v>656</v>
      </c>
      <c r="F89" s="64" t="s">
        <v>313</v>
      </c>
      <c r="G89" s="5" t="s">
        <v>314</v>
      </c>
      <c r="H89" s="130">
        <v>0.0</v>
      </c>
      <c r="I89" s="91">
        <v>1.0</v>
      </c>
      <c r="J89" s="91">
        <v>1.0</v>
      </c>
      <c r="K89" s="91">
        <v>1.0</v>
      </c>
      <c r="L89" s="91">
        <v>0.0</v>
      </c>
      <c r="M89" s="91">
        <v>1.0</v>
      </c>
      <c r="N89" s="91">
        <v>1.0</v>
      </c>
      <c r="O89" s="91">
        <v>0.0</v>
      </c>
      <c r="P89" s="91">
        <v>1.0</v>
      </c>
      <c r="Q89" s="77"/>
      <c r="R89" s="77"/>
      <c r="S89" s="77"/>
      <c r="T89" s="77"/>
      <c r="U89" s="77"/>
      <c r="V89" s="77"/>
      <c r="W89" s="77"/>
      <c r="X89" s="77"/>
      <c r="Y89" s="77"/>
      <c r="Z89" s="77"/>
    </row>
    <row r="90">
      <c r="A90" s="128" t="s">
        <v>315</v>
      </c>
      <c r="B90" s="129">
        <v>2025.0</v>
      </c>
      <c r="C90" s="128" t="s">
        <v>316</v>
      </c>
      <c r="D90" s="128" t="s">
        <v>317</v>
      </c>
      <c r="E90" s="64" t="s">
        <v>657</v>
      </c>
      <c r="F90" s="66" t="s">
        <v>318</v>
      </c>
      <c r="G90" s="5" t="s">
        <v>37</v>
      </c>
      <c r="H90" s="130">
        <v>0.0</v>
      </c>
      <c r="I90" s="91">
        <v>1.0</v>
      </c>
      <c r="J90" s="91">
        <v>0.0</v>
      </c>
      <c r="K90" s="91">
        <v>0.0</v>
      </c>
      <c r="L90" s="91">
        <v>0.0</v>
      </c>
      <c r="M90" s="91">
        <v>1.0</v>
      </c>
      <c r="N90" s="91">
        <v>0.0</v>
      </c>
      <c r="O90" s="91">
        <v>0.0</v>
      </c>
      <c r="P90" s="91">
        <v>1.0</v>
      </c>
      <c r="Q90" s="77"/>
      <c r="R90" s="77"/>
      <c r="S90" s="77"/>
      <c r="T90" s="77"/>
      <c r="U90" s="77"/>
      <c r="V90" s="77"/>
      <c r="W90" s="77"/>
      <c r="X90" s="77"/>
      <c r="Y90" s="77"/>
      <c r="Z90" s="77"/>
    </row>
    <row r="91">
      <c r="A91" s="133" t="s">
        <v>430</v>
      </c>
      <c r="B91" s="134">
        <v>2024.0</v>
      </c>
      <c r="C91" s="105" t="s">
        <v>431</v>
      </c>
      <c r="D91" s="105" t="s">
        <v>432</v>
      </c>
      <c r="E91" s="135" t="s">
        <v>658</v>
      </c>
      <c r="F91" s="116" t="s">
        <v>433</v>
      </c>
      <c r="G91" s="90" t="s">
        <v>434</v>
      </c>
      <c r="H91" s="126">
        <v>1.0</v>
      </c>
      <c r="I91" s="127">
        <v>0.0</v>
      </c>
      <c r="J91" s="127">
        <v>1.0</v>
      </c>
      <c r="K91" s="127">
        <v>1.0</v>
      </c>
      <c r="L91" s="127">
        <v>1.0</v>
      </c>
      <c r="M91" s="127">
        <v>0.0</v>
      </c>
      <c r="N91" s="127">
        <v>0.0</v>
      </c>
      <c r="O91" s="127">
        <v>1.0</v>
      </c>
      <c r="P91" s="127">
        <v>0.0</v>
      </c>
    </row>
    <row r="92">
      <c r="A92" s="133" t="s">
        <v>436</v>
      </c>
      <c r="B92" s="134">
        <v>2025.0</v>
      </c>
      <c r="C92" s="105" t="s">
        <v>437</v>
      </c>
      <c r="D92" s="105" t="s">
        <v>438</v>
      </c>
      <c r="E92" s="135" t="s">
        <v>659</v>
      </c>
      <c r="F92" s="116" t="s">
        <v>439</v>
      </c>
      <c r="G92" s="90" t="s">
        <v>198</v>
      </c>
      <c r="H92" s="126">
        <v>1.0</v>
      </c>
      <c r="I92" s="127">
        <v>0.0</v>
      </c>
      <c r="J92" s="127">
        <v>1.0</v>
      </c>
      <c r="K92" s="127">
        <v>1.0</v>
      </c>
      <c r="L92" s="127">
        <v>0.0</v>
      </c>
      <c r="M92" s="127">
        <v>0.0</v>
      </c>
      <c r="N92" s="127">
        <v>0.0</v>
      </c>
      <c r="O92" s="127">
        <v>1.0</v>
      </c>
      <c r="P92" s="127">
        <v>0.0</v>
      </c>
    </row>
    <row r="93">
      <c r="A93" s="133" t="s">
        <v>441</v>
      </c>
      <c r="B93" s="134">
        <v>2020.0</v>
      </c>
      <c r="C93" s="105" t="s">
        <v>442</v>
      </c>
      <c r="D93" s="86" t="s">
        <v>443</v>
      </c>
      <c r="E93" s="135" t="s">
        <v>660</v>
      </c>
      <c r="F93" s="116" t="s">
        <v>444</v>
      </c>
      <c r="G93" s="90" t="s">
        <v>198</v>
      </c>
      <c r="H93" s="126">
        <v>1.0</v>
      </c>
      <c r="I93" s="127">
        <v>0.0</v>
      </c>
      <c r="J93" s="127">
        <v>1.0</v>
      </c>
      <c r="K93" s="127">
        <v>1.0</v>
      </c>
      <c r="L93" s="127">
        <v>0.0</v>
      </c>
      <c r="M93" s="127">
        <v>1.0</v>
      </c>
      <c r="N93" s="127">
        <v>1.0</v>
      </c>
      <c r="O93" s="127">
        <v>1.0</v>
      </c>
      <c r="P93" s="127">
        <v>0.0</v>
      </c>
    </row>
    <row r="94">
      <c r="A94" s="133" t="s">
        <v>446</v>
      </c>
      <c r="B94" s="134">
        <v>2025.0</v>
      </c>
      <c r="C94" s="105" t="s">
        <v>447</v>
      </c>
      <c r="D94" s="105" t="s">
        <v>448</v>
      </c>
      <c r="E94" s="135" t="s">
        <v>661</v>
      </c>
      <c r="F94" s="116" t="s">
        <v>449</v>
      </c>
      <c r="G94" s="90" t="s">
        <v>198</v>
      </c>
      <c r="H94" s="126">
        <v>1.0</v>
      </c>
      <c r="I94" s="127">
        <v>0.0</v>
      </c>
      <c r="J94" s="127">
        <v>1.0</v>
      </c>
      <c r="K94" s="127">
        <v>1.0</v>
      </c>
      <c r="L94" s="127">
        <v>0.0</v>
      </c>
      <c r="M94" s="127">
        <v>0.0</v>
      </c>
      <c r="N94" s="127">
        <v>0.0</v>
      </c>
      <c r="O94" s="127">
        <v>1.0</v>
      </c>
      <c r="P94" s="127">
        <v>0.0</v>
      </c>
    </row>
    <row r="95">
      <c r="A95" s="133" t="s">
        <v>451</v>
      </c>
      <c r="B95" s="134">
        <v>2025.0</v>
      </c>
      <c r="C95" s="105" t="s">
        <v>452</v>
      </c>
      <c r="D95" s="105" t="s">
        <v>453</v>
      </c>
      <c r="E95" s="135" t="s">
        <v>662</v>
      </c>
      <c r="F95" s="116" t="s">
        <v>663</v>
      </c>
      <c r="G95" s="90" t="s">
        <v>434</v>
      </c>
      <c r="H95" s="126">
        <v>1.0</v>
      </c>
      <c r="I95" s="127">
        <v>0.0</v>
      </c>
      <c r="J95" s="127">
        <v>1.0</v>
      </c>
      <c r="K95" s="127">
        <v>1.0</v>
      </c>
      <c r="L95" s="127">
        <v>0.0</v>
      </c>
      <c r="M95" s="127">
        <v>0.0</v>
      </c>
      <c r="N95" s="127">
        <v>0.0</v>
      </c>
      <c r="O95" s="127">
        <v>1.0</v>
      </c>
      <c r="P95" s="127">
        <v>0.0</v>
      </c>
    </row>
    <row r="96">
      <c r="A96" s="133" t="s">
        <v>456</v>
      </c>
      <c r="B96" s="134">
        <v>2021.0</v>
      </c>
      <c r="C96" s="105" t="s">
        <v>457</v>
      </c>
      <c r="D96" s="105" t="s">
        <v>458</v>
      </c>
      <c r="E96" s="135" t="s">
        <v>664</v>
      </c>
      <c r="F96" s="116" t="s">
        <v>66</v>
      </c>
      <c r="G96" s="90" t="s">
        <v>434</v>
      </c>
      <c r="H96" s="126">
        <v>1.0</v>
      </c>
      <c r="I96" s="127">
        <v>1.0</v>
      </c>
      <c r="J96" s="127">
        <v>0.0</v>
      </c>
      <c r="K96" s="127">
        <v>0.0</v>
      </c>
      <c r="L96" s="127">
        <v>0.0</v>
      </c>
      <c r="M96" s="127">
        <v>0.0</v>
      </c>
      <c r="N96" s="127">
        <v>1.0</v>
      </c>
      <c r="O96" s="127">
        <v>1.0</v>
      </c>
      <c r="P96" s="127">
        <v>0.0</v>
      </c>
    </row>
    <row r="97">
      <c r="A97" s="133" t="s">
        <v>460</v>
      </c>
      <c r="B97" s="134">
        <v>2024.0</v>
      </c>
      <c r="C97" s="105" t="s">
        <v>461</v>
      </c>
      <c r="D97" s="105" t="s">
        <v>462</v>
      </c>
      <c r="E97" s="135" t="s">
        <v>665</v>
      </c>
      <c r="F97" s="121" t="s">
        <v>463</v>
      </c>
      <c r="G97" s="90" t="s">
        <v>434</v>
      </c>
      <c r="H97" s="126">
        <v>1.0</v>
      </c>
      <c r="I97" s="127">
        <v>0.0</v>
      </c>
      <c r="J97" s="127">
        <v>1.0</v>
      </c>
      <c r="K97" s="127">
        <v>1.0</v>
      </c>
      <c r="L97" s="127">
        <v>0.0</v>
      </c>
      <c r="M97" s="127">
        <v>0.0</v>
      </c>
      <c r="N97" s="127">
        <v>0.0</v>
      </c>
      <c r="O97" s="127">
        <v>1.0</v>
      </c>
      <c r="P97" s="127">
        <v>0.0</v>
      </c>
    </row>
    <row r="98">
      <c r="A98" s="69" t="s">
        <v>465</v>
      </c>
      <c r="B98" s="118">
        <v>2004.0</v>
      </c>
      <c r="C98" s="122" t="s">
        <v>466</v>
      </c>
      <c r="D98" s="122" t="s">
        <v>467</v>
      </c>
      <c r="E98" s="56" t="s">
        <v>666</v>
      </c>
      <c r="F98" s="72" t="s">
        <v>468</v>
      </c>
      <c r="G98" s="52" t="s">
        <v>434</v>
      </c>
      <c r="H98" s="130">
        <v>1.0</v>
      </c>
      <c r="I98" s="91">
        <v>1.0</v>
      </c>
      <c r="J98" s="91">
        <v>0.0</v>
      </c>
      <c r="K98" s="91">
        <v>1.0</v>
      </c>
      <c r="L98" s="91">
        <v>0.0</v>
      </c>
      <c r="M98" s="91">
        <v>0.0</v>
      </c>
      <c r="N98" s="91">
        <v>1.0</v>
      </c>
      <c r="O98" s="91">
        <v>0.0</v>
      </c>
      <c r="P98" s="91">
        <v>1.0</v>
      </c>
    </row>
    <row r="99">
      <c r="A99" s="133" t="s">
        <v>324</v>
      </c>
      <c r="B99" s="134">
        <v>2024.0</v>
      </c>
      <c r="C99" s="105" t="s">
        <v>470</v>
      </c>
      <c r="D99" s="105" t="s">
        <v>471</v>
      </c>
      <c r="E99" s="135" t="s">
        <v>506</v>
      </c>
      <c r="F99" s="121" t="s">
        <v>327</v>
      </c>
      <c r="G99" s="90" t="s">
        <v>472</v>
      </c>
      <c r="H99" s="126">
        <v>1.0</v>
      </c>
      <c r="I99" s="127">
        <v>0.0</v>
      </c>
      <c r="J99" s="127">
        <v>1.0</v>
      </c>
      <c r="K99" s="127">
        <v>1.0</v>
      </c>
      <c r="L99" s="127">
        <v>1.0</v>
      </c>
      <c r="M99" s="127">
        <v>1.0</v>
      </c>
      <c r="N99" s="127">
        <v>0.0</v>
      </c>
      <c r="O99" s="127">
        <v>1.0</v>
      </c>
      <c r="P99" s="127">
        <v>0.0</v>
      </c>
      <c r="Q99" s="1" t="s">
        <v>667</v>
      </c>
    </row>
    <row r="100">
      <c r="A100" s="133" t="s">
        <v>474</v>
      </c>
      <c r="B100" s="134">
        <v>2022.0</v>
      </c>
      <c r="C100" s="105" t="s">
        <v>475</v>
      </c>
      <c r="D100" s="105" t="s">
        <v>476</v>
      </c>
      <c r="E100" s="136" t="s">
        <v>668</v>
      </c>
      <c r="F100" s="116" t="s">
        <v>477</v>
      </c>
      <c r="G100" s="90" t="s">
        <v>198</v>
      </c>
      <c r="H100" s="126">
        <v>1.0</v>
      </c>
      <c r="I100" s="127">
        <v>1.0</v>
      </c>
      <c r="J100" s="127">
        <v>1.0</v>
      </c>
      <c r="K100" s="127">
        <v>1.0</v>
      </c>
      <c r="L100" s="127">
        <v>0.0</v>
      </c>
      <c r="M100" s="127">
        <v>0.0</v>
      </c>
      <c r="N100" s="127">
        <v>1.0</v>
      </c>
      <c r="O100" s="127">
        <v>1.0</v>
      </c>
      <c r="P100" s="127">
        <v>0.0</v>
      </c>
    </row>
    <row r="101">
      <c r="A101" s="137" t="s">
        <v>613</v>
      </c>
      <c r="B101" s="138">
        <v>2024.0</v>
      </c>
      <c r="C101" s="136" t="s">
        <v>614</v>
      </c>
      <c r="D101" s="136" t="s">
        <v>615</v>
      </c>
      <c r="E101" s="136" t="s">
        <v>616</v>
      </c>
      <c r="F101" s="139" t="s">
        <v>617</v>
      </c>
      <c r="G101" s="90" t="s">
        <v>198</v>
      </c>
      <c r="H101" s="126">
        <v>1.0</v>
      </c>
      <c r="I101" s="127">
        <v>0.0</v>
      </c>
      <c r="J101" s="127">
        <v>0.0</v>
      </c>
      <c r="K101" s="127">
        <v>1.0</v>
      </c>
      <c r="L101" s="127">
        <v>1.0</v>
      </c>
      <c r="M101" s="127">
        <v>0.0</v>
      </c>
      <c r="N101" s="127">
        <v>0.0</v>
      </c>
      <c r="O101" s="127">
        <v>0.0</v>
      </c>
      <c r="P101" s="127">
        <v>0.0</v>
      </c>
      <c r="Q101" s="140"/>
      <c r="R101" s="140"/>
      <c r="S101" s="140"/>
      <c r="T101" s="140"/>
      <c r="U101" s="140"/>
      <c r="V101" s="140"/>
      <c r="W101" s="140"/>
      <c r="X101" s="140"/>
      <c r="Y101" s="140"/>
      <c r="Z101" s="140"/>
    </row>
    <row r="102">
      <c r="A102" s="141"/>
      <c r="B102" s="141"/>
      <c r="C102" s="141"/>
      <c r="D102" s="141"/>
      <c r="E102" s="77"/>
      <c r="F102" s="77"/>
      <c r="G102" s="77"/>
      <c r="H102" s="77"/>
      <c r="I102" s="77"/>
      <c r="J102" s="77"/>
      <c r="K102" s="77"/>
      <c r="L102" s="77"/>
      <c r="M102" s="77"/>
      <c r="N102" s="77"/>
      <c r="O102" s="77"/>
      <c r="P102" s="77"/>
      <c r="Q102" s="77"/>
      <c r="R102" s="77"/>
      <c r="S102" s="77"/>
      <c r="T102" s="77"/>
      <c r="U102" s="77"/>
      <c r="V102" s="77"/>
      <c r="W102" s="77"/>
      <c r="X102" s="77"/>
      <c r="Y102" s="77"/>
      <c r="Z102" s="77"/>
    </row>
    <row r="103">
      <c r="A103" s="141"/>
      <c r="B103" s="141"/>
      <c r="C103" s="141"/>
      <c r="D103" s="141"/>
      <c r="E103" s="77"/>
      <c r="F103" s="77"/>
      <c r="G103" s="77"/>
      <c r="H103" s="77"/>
      <c r="I103" s="77"/>
      <c r="J103" s="77"/>
      <c r="K103" s="77"/>
      <c r="L103" s="77"/>
      <c r="M103" s="77"/>
      <c r="N103" s="77"/>
      <c r="O103" s="77"/>
      <c r="P103" s="77"/>
      <c r="Q103" s="77"/>
      <c r="R103" s="77"/>
      <c r="S103" s="77"/>
      <c r="T103" s="77"/>
      <c r="U103" s="77"/>
      <c r="V103" s="77"/>
      <c r="W103" s="77"/>
      <c r="X103" s="77"/>
      <c r="Y103" s="77"/>
      <c r="Z103" s="77"/>
    </row>
    <row r="104">
      <c r="A104" s="141"/>
      <c r="B104" s="141"/>
      <c r="C104" s="141"/>
      <c r="D104" s="141"/>
      <c r="E104" s="77"/>
      <c r="F104" s="77"/>
      <c r="G104" s="77"/>
      <c r="H104" s="77"/>
      <c r="I104" s="77"/>
      <c r="J104" s="77"/>
      <c r="K104" s="77"/>
      <c r="L104" s="77"/>
      <c r="M104" s="77"/>
      <c r="N104" s="77"/>
      <c r="O104" s="77"/>
      <c r="P104" s="77"/>
      <c r="Q104" s="77"/>
      <c r="R104" s="77"/>
      <c r="S104" s="77"/>
      <c r="T104" s="77"/>
      <c r="U104" s="77"/>
      <c r="V104" s="77"/>
      <c r="W104" s="77"/>
      <c r="X104" s="77"/>
      <c r="Y104" s="77"/>
      <c r="Z104" s="77"/>
    </row>
    <row r="105">
      <c r="A105" s="141"/>
      <c r="B105" s="141"/>
      <c r="C105" s="141"/>
      <c r="D105" s="141"/>
      <c r="E105" s="77"/>
      <c r="F105" s="77"/>
      <c r="G105" s="77"/>
      <c r="H105" s="77"/>
      <c r="I105" s="77"/>
      <c r="J105" s="77"/>
      <c r="K105" s="77"/>
      <c r="L105" s="77"/>
      <c r="M105" s="77"/>
      <c r="N105" s="77"/>
      <c r="O105" s="77"/>
      <c r="P105" s="77"/>
      <c r="Q105" s="77"/>
      <c r="R105" s="77"/>
      <c r="S105" s="77"/>
      <c r="T105" s="77"/>
      <c r="U105" s="77"/>
      <c r="V105" s="77"/>
      <c r="W105" s="77"/>
      <c r="X105" s="77"/>
      <c r="Y105" s="77"/>
      <c r="Z105" s="77"/>
    </row>
    <row r="106">
      <c r="A106" s="141"/>
      <c r="B106" s="141"/>
      <c r="C106" s="141"/>
      <c r="D106" s="141"/>
      <c r="E106" s="77"/>
      <c r="F106" s="77"/>
      <c r="G106" s="77"/>
      <c r="H106" s="77"/>
      <c r="I106" s="77"/>
      <c r="J106" s="77"/>
      <c r="K106" s="77"/>
      <c r="L106" s="77"/>
      <c r="M106" s="77"/>
      <c r="N106" s="77"/>
      <c r="O106" s="77"/>
      <c r="P106" s="77"/>
      <c r="Q106" s="77"/>
      <c r="R106" s="77"/>
      <c r="S106" s="77"/>
      <c r="T106" s="77"/>
      <c r="U106" s="77"/>
      <c r="V106" s="77"/>
      <c r="W106" s="77"/>
      <c r="X106" s="77"/>
      <c r="Y106" s="77"/>
      <c r="Z106" s="77"/>
    </row>
    <row r="107">
      <c r="A107" s="141"/>
      <c r="B107" s="141"/>
      <c r="C107" s="141"/>
      <c r="D107" s="141"/>
      <c r="E107" s="77"/>
      <c r="F107" s="77"/>
      <c r="G107" s="77"/>
      <c r="H107" s="77"/>
      <c r="I107" s="77"/>
      <c r="J107" s="77"/>
      <c r="K107" s="77"/>
      <c r="L107" s="77"/>
      <c r="M107" s="77"/>
      <c r="N107" s="77"/>
      <c r="O107" s="77"/>
      <c r="P107" s="77"/>
      <c r="Q107" s="77"/>
      <c r="R107" s="77"/>
      <c r="S107" s="77"/>
      <c r="T107" s="77"/>
      <c r="U107" s="77"/>
      <c r="V107" s="77"/>
      <c r="W107" s="77"/>
      <c r="X107" s="77"/>
      <c r="Y107" s="77"/>
      <c r="Z107" s="77"/>
    </row>
    <row r="108">
      <c r="A108" s="77"/>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row>
    <row r="109">
      <c r="A109" s="77"/>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row>
    <row r="110">
      <c r="A110" s="77"/>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row>
    <row r="111">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row>
    <row r="112">
      <c r="A112" s="77"/>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row>
    <row r="113">
      <c r="A113" s="77"/>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row>
    <row r="114">
      <c r="A114" s="77"/>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row>
    <row r="115">
      <c r="A115" s="77"/>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row>
    <row r="116">
      <c r="A116" s="77"/>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row>
    <row r="117">
      <c r="A117" s="77"/>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row>
    <row r="118">
      <c r="A118" s="77"/>
      <c r="B118" s="77"/>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row>
    <row r="119">
      <c r="A119" s="77"/>
      <c r="B119" s="77"/>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row>
    <row r="120">
      <c r="A120" s="77"/>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row>
    <row r="121">
      <c r="A121" s="77"/>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row>
    <row r="122">
      <c r="A122" s="77"/>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row>
    <row r="123">
      <c r="A123" s="77"/>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row>
    <row r="124">
      <c r="A124" s="77"/>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row>
    <row r="125">
      <c r="A125" s="77"/>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row>
    <row r="126">
      <c r="A126" s="77"/>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row>
    <row r="127">
      <c r="A127" s="77"/>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row>
    <row r="128">
      <c r="A128" s="77"/>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row>
    <row r="129">
      <c r="A129" s="77"/>
      <c r="B129" s="142"/>
      <c r="C129" s="142"/>
      <c r="D129" s="142"/>
      <c r="E129" s="142"/>
      <c r="F129" s="142"/>
      <c r="G129" s="142"/>
      <c r="H129" s="142"/>
      <c r="I129" s="142"/>
      <c r="J129" s="142"/>
      <c r="K129" s="142"/>
      <c r="L129" s="77"/>
      <c r="M129" s="77"/>
      <c r="N129" s="77"/>
      <c r="O129" s="77"/>
      <c r="P129" s="77"/>
      <c r="Q129" s="77"/>
      <c r="R129" s="77"/>
      <c r="S129" s="77"/>
      <c r="T129" s="77"/>
      <c r="U129" s="77"/>
      <c r="V129" s="77"/>
      <c r="W129" s="77"/>
      <c r="X129" s="77"/>
      <c r="Y129" s="77"/>
      <c r="Z129" s="77"/>
    </row>
    <row r="130">
      <c r="A130" s="77"/>
      <c r="L130" s="77"/>
      <c r="M130" s="77"/>
      <c r="N130" s="77"/>
      <c r="O130" s="77"/>
      <c r="P130" s="77"/>
      <c r="Q130" s="77"/>
      <c r="R130" s="77"/>
      <c r="S130" s="77"/>
      <c r="T130" s="77"/>
      <c r="U130" s="77"/>
      <c r="V130" s="77"/>
      <c r="W130" s="77"/>
      <c r="X130" s="77"/>
      <c r="Y130" s="77"/>
      <c r="Z130" s="77"/>
    </row>
    <row r="131">
      <c r="A131" s="77"/>
      <c r="L131" s="77"/>
      <c r="M131" s="77"/>
      <c r="N131" s="77"/>
      <c r="O131" s="77"/>
      <c r="P131" s="77"/>
      <c r="Q131" s="77"/>
      <c r="R131" s="77"/>
      <c r="S131" s="77"/>
      <c r="T131" s="77"/>
      <c r="U131" s="77"/>
      <c r="V131" s="77"/>
      <c r="W131" s="77"/>
      <c r="X131" s="77"/>
      <c r="Y131" s="77"/>
      <c r="Z131" s="77"/>
    </row>
    <row r="132">
      <c r="A132" s="77"/>
      <c r="L132" s="77"/>
      <c r="M132" s="77"/>
      <c r="N132" s="77"/>
      <c r="O132" s="77"/>
      <c r="P132" s="77"/>
      <c r="Q132" s="77"/>
      <c r="R132" s="77"/>
      <c r="S132" s="77"/>
      <c r="T132" s="77"/>
      <c r="U132" s="77"/>
      <c r="V132" s="77"/>
      <c r="W132" s="77"/>
      <c r="X132" s="77"/>
      <c r="Y132" s="77"/>
      <c r="Z132" s="77"/>
    </row>
    <row r="133">
      <c r="A133" s="77"/>
      <c r="L133" s="77"/>
      <c r="M133" s="77"/>
      <c r="N133" s="77"/>
      <c r="O133" s="77"/>
      <c r="P133" s="77"/>
      <c r="Q133" s="77"/>
      <c r="R133" s="77"/>
      <c r="S133" s="77"/>
      <c r="T133" s="77"/>
      <c r="U133" s="77"/>
      <c r="V133" s="77"/>
      <c r="W133" s="77"/>
      <c r="X133" s="77"/>
      <c r="Y133" s="77"/>
      <c r="Z133" s="77"/>
    </row>
    <row r="134">
      <c r="A134" s="77"/>
      <c r="L134" s="77"/>
      <c r="M134" s="77"/>
      <c r="N134" s="77"/>
      <c r="O134" s="77"/>
      <c r="P134" s="77"/>
      <c r="Q134" s="77"/>
      <c r="R134" s="77"/>
      <c r="S134" s="77"/>
      <c r="T134" s="77"/>
      <c r="U134" s="77"/>
      <c r="V134" s="77"/>
      <c r="W134" s="77"/>
      <c r="X134" s="77"/>
      <c r="Y134" s="77"/>
      <c r="Z134" s="77"/>
    </row>
    <row r="135">
      <c r="A135" s="77"/>
      <c r="L135" s="77"/>
      <c r="M135" s="77"/>
      <c r="N135" s="77"/>
      <c r="O135" s="77"/>
      <c r="P135" s="77"/>
      <c r="Q135" s="77"/>
      <c r="R135" s="77"/>
      <c r="S135" s="77"/>
      <c r="T135" s="77"/>
      <c r="U135" s="77"/>
      <c r="V135" s="77"/>
      <c r="W135" s="77"/>
      <c r="X135" s="77"/>
      <c r="Y135" s="77"/>
      <c r="Z135" s="77"/>
    </row>
    <row r="136">
      <c r="A136" s="77"/>
      <c r="L136" s="77"/>
      <c r="M136" s="77"/>
      <c r="N136" s="77"/>
      <c r="O136" s="77"/>
      <c r="P136" s="77"/>
      <c r="Q136" s="77"/>
      <c r="R136" s="77"/>
      <c r="S136" s="77"/>
      <c r="T136" s="77"/>
      <c r="U136" s="77"/>
      <c r="V136" s="77"/>
      <c r="W136" s="77"/>
      <c r="X136" s="77"/>
      <c r="Y136" s="77"/>
      <c r="Z136" s="77"/>
    </row>
    <row r="137">
      <c r="A137" s="77"/>
      <c r="L137" s="77"/>
      <c r="M137" s="77"/>
      <c r="N137" s="77"/>
      <c r="O137" s="77"/>
      <c r="P137" s="77"/>
      <c r="Q137" s="77"/>
      <c r="R137" s="77"/>
      <c r="S137" s="77"/>
      <c r="T137" s="77"/>
      <c r="U137" s="77"/>
      <c r="V137" s="77"/>
      <c r="W137" s="77"/>
      <c r="X137" s="77"/>
      <c r="Y137" s="77"/>
      <c r="Z137" s="77"/>
    </row>
    <row r="138">
      <c r="A138" s="77"/>
      <c r="L138" s="77"/>
      <c r="M138" s="77"/>
      <c r="N138" s="77"/>
      <c r="O138" s="77"/>
      <c r="P138" s="77"/>
      <c r="Q138" s="77"/>
      <c r="R138" s="77"/>
      <c r="S138" s="77"/>
      <c r="T138" s="77"/>
      <c r="U138" s="77"/>
      <c r="V138" s="77"/>
      <c r="W138" s="77"/>
      <c r="X138" s="77"/>
      <c r="Y138" s="77"/>
      <c r="Z138" s="77"/>
    </row>
    <row r="139">
      <c r="A139" s="77"/>
      <c r="L139" s="77"/>
      <c r="M139" s="77"/>
      <c r="N139" s="77"/>
      <c r="O139" s="77"/>
      <c r="P139" s="77"/>
      <c r="Q139" s="77"/>
      <c r="R139" s="77"/>
      <c r="S139" s="77"/>
      <c r="T139" s="77"/>
      <c r="U139" s="77"/>
      <c r="V139" s="77"/>
      <c r="W139" s="77"/>
      <c r="X139" s="77"/>
      <c r="Y139" s="77"/>
      <c r="Z139" s="77"/>
    </row>
    <row r="140">
      <c r="A140" s="77"/>
      <c r="L140" s="77"/>
      <c r="M140" s="77"/>
      <c r="N140" s="77"/>
      <c r="O140" s="77"/>
      <c r="P140" s="77"/>
      <c r="Q140" s="77"/>
      <c r="R140" s="77"/>
      <c r="S140" s="77"/>
      <c r="T140" s="77"/>
      <c r="U140" s="77"/>
      <c r="V140" s="77"/>
      <c r="W140" s="77"/>
      <c r="X140" s="77"/>
      <c r="Y140" s="77"/>
      <c r="Z140" s="77"/>
    </row>
    <row r="141">
      <c r="A141" s="77"/>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row>
    <row r="142">
      <c r="A142" s="77"/>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row>
    <row r="143">
      <c r="A143" s="77"/>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row>
    <row r="144">
      <c r="A144" s="77"/>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row>
    <row r="145">
      <c r="A145" s="77"/>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row>
    <row r="146">
      <c r="A146" s="77"/>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row>
    <row r="147">
      <c r="A147" s="77"/>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row>
    <row r="148">
      <c r="A148" s="77"/>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row>
    <row r="149">
      <c r="A149" s="77"/>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row>
    <row r="150">
      <c r="A150" s="77"/>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row>
    <row r="151">
      <c r="A151" s="77"/>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row>
    <row r="152">
      <c r="A152" s="77"/>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row>
    <row r="153">
      <c r="A153" s="77"/>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row>
    <row r="154">
      <c r="A154" s="77"/>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row>
    <row r="155">
      <c r="A155" s="77"/>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row>
    <row r="156">
      <c r="A156" s="77"/>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row>
    <row r="157">
      <c r="A157" s="77"/>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row>
    <row r="158">
      <c r="A158" s="77"/>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row>
    <row r="159">
      <c r="A159" s="77"/>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row>
    <row r="160">
      <c r="A160" s="77"/>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row>
    <row r="161">
      <c r="A161" s="77"/>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row>
    <row r="162">
      <c r="A162" s="77"/>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row>
    <row r="163">
      <c r="A163" s="77"/>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row>
    <row r="164">
      <c r="A164" s="77"/>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row>
    <row r="165">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row>
    <row r="166">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row>
    <row r="167">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row>
    <row r="168">
      <c r="A168" s="77"/>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row>
    <row r="169">
      <c r="A169" s="77"/>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row>
    <row r="170">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row>
    <row r="171">
      <c r="A171" s="77"/>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row>
    <row r="172">
      <c r="A172" s="77"/>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row>
    <row r="173">
      <c r="A173" s="77"/>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row>
    <row r="174">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row>
    <row r="175">
      <c r="A175" s="77"/>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row>
    <row r="176">
      <c r="A176" s="77"/>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row>
    <row r="177">
      <c r="A177" s="77"/>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row>
    <row r="178">
      <c r="A178" s="77"/>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row>
    <row r="179">
      <c r="A179" s="77"/>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row>
    <row r="180">
      <c r="A180" s="77"/>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row>
    <row r="181">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row>
    <row r="182">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row>
    <row r="183">
      <c r="A183" s="77"/>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row>
    <row r="184">
      <c r="A184" s="77"/>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row>
    <row r="185">
      <c r="A185" s="77"/>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row>
    <row r="186">
      <c r="A186" s="77"/>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row>
    <row r="187">
      <c r="A187" s="77"/>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row>
    <row r="188">
      <c r="A188" s="77"/>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row>
    <row r="189">
      <c r="A189" s="77"/>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row>
    <row r="190">
      <c r="A190" s="77"/>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row>
    <row r="191">
      <c r="A191" s="77"/>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row>
    <row r="192">
      <c r="A192" s="77"/>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row>
    <row r="193">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row>
    <row r="194">
      <c r="A194" s="77"/>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row>
    <row r="195">
      <c r="A195" s="77"/>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row>
    <row r="196">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row>
    <row r="197">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row>
    <row r="198">
      <c r="A198" s="77"/>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row>
    <row r="199">
      <c r="A199" s="77"/>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row>
    <row r="200">
      <c r="A200" s="77"/>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row>
    <row r="201">
      <c r="A201" s="77"/>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row>
    <row r="202">
      <c r="A202" s="77"/>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row>
    <row r="203">
      <c r="A203" s="77"/>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row>
    <row r="204">
      <c r="A204" s="77"/>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row>
    <row r="205">
      <c r="A205" s="77"/>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row>
    <row r="206">
      <c r="A206" s="77"/>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row>
    <row r="207">
      <c r="A207" s="77"/>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row>
    <row r="208">
      <c r="A208" s="77"/>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row>
    <row r="209">
      <c r="A209" s="77"/>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row>
    <row r="210">
      <c r="A210" s="77"/>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row>
    <row r="211">
      <c r="A211" s="77"/>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row>
    <row r="212">
      <c r="A212" s="77"/>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row>
    <row r="213">
      <c r="A213" s="77"/>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row>
    <row r="214">
      <c r="A214" s="77"/>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row>
    <row r="215">
      <c r="A215" s="77"/>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row>
    <row r="216">
      <c r="A216" s="77"/>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row>
    <row r="217">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row>
    <row r="218">
      <c r="A218" s="77"/>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row>
    <row r="219">
      <c r="A219" s="77"/>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row>
    <row r="220">
      <c r="A220" s="77"/>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row>
    <row r="221">
      <c r="A221" s="77"/>
      <c r="B221" s="77"/>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row>
    <row r="222">
      <c r="A222" s="77"/>
      <c r="B222" s="77"/>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row>
    <row r="223">
      <c r="A223" s="77"/>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row>
    <row r="224">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row>
    <row r="225">
      <c r="A225" s="77"/>
      <c r="B225" s="77"/>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row>
    <row r="226">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row>
    <row r="227">
      <c r="A227" s="77"/>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row>
    <row r="228">
      <c r="A228" s="77"/>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row>
    <row r="229">
      <c r="A229" s="77"/>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row>
    <row r="230">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row>
    <row r="231">
      <c r="A231" s="77"/>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row>
    <row r="232">
      <c r="A232" s="77"/>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row>
    <row r="233">
      <c r="A233" s="77"/>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row>
    <row r="234">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row>
    <row r="235">
      <c r="A235" s="77"/>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row>
    <row r="236">
      <c r="A236" s="77"/>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row>
    <row r="237">
      <c r="A237" s="77"/>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row>
    <row r="238">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row>
    <row r="239">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row>
    <row r="240">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row>
    <row r="241">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row>
    <row r="242">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row>
    <row r="243">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row>
    <row r="244">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row>
    <row r="245">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row>
    <row r="246">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row>
    <row r="247">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row>
    <row r="248">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row>
    <row r="249">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row>
    <row r="250">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row>
    <row r="251">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row>
    <row r="252">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row>
    <row r="253">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row>
    <row r="254">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row>
    <row r="255">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row>
    <row r="256">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row>
    <row r="257">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row>
    <row r="258">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row>
    <row r="259">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row>
    <row r="260">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row>
    <row r="261">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row>
    <row r="262">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row>
    <row r="263">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row>
    <row r="264">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row>
    <row r="265">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row>
    <row r="266">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row>
    <row r="267">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row>
    <row r="268">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row>
    <row r="269">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row>
    <row r="270">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row>
    <row r="271">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row>
    <row r="272">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row>
    <row r="273">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row>
    <row r="274">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row>
    <row r="275">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row>
    <row r="276">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row>
    <row r="277">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row>
    <row r="278">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row>
    <row r="279">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row>
    <row r="280">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row>
    <row r="281">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row>
    <row r="282">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row>
    <row r="283">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c r="A904" s="77"/>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c r="A905" s="77"/>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c r="A906" s="77"/>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c r="A907" s="77"/>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c r="A908" s="77"/>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c r="A909" s="77"/>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c r="A910" s="77"/>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c r="A911" s="77"/>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c r="A912" s="77"/>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c r="A913" s="77"/>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c r="A914" s="77"/>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c r="A915" s="77"/>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c r="A916" s="77"/>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c r="A917" s="77"/>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c r="A918" s="77"/>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c r="A919" s="77"/>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c r="A920" s="77"/>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c r="A921" s="77"/>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c r="A922" s="77"/>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c r="A923" s="77"/>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c r="A924" s="77"/>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c r="A925" s="77"/>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c r="A926" s="77"/>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c r="A927" s="77"/>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c r="A928" s="77"/>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c r="A929" s="77"/>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c r="A930" s="77"/>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c r="A931" s="77"/>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c r="A932" s="77"/>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c r="A933" s="77"/>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c r="A934" s="77"/>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c r="A935" s="77"/>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c r="A936" s="77"/>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c r="A937" s="77"/>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c r="A938" s="77"/>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c r="A939" s="77"/>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c r="A940" s="77"/>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c r="A941" s="77"/>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c r="A942" s="77"/>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c r="A943" s="77"/>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c r="A944" s="77"/>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c r="A945" s="77"/>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c r="A946" s="77"/>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c r="A947" s="77"/>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c r="A948" s="77"/>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c r="A949" s="77"/>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c r="A950" s="77"/>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c r="A951" s="77"/>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c r="A952" s="77"/>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c r="A953" s="77"/>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c r="A954" s="77"/>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c r="A955" s="77"/>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c r="A956" s="77"/>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c r="A957" s="77"/>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c r="A958" s="77"/>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c r="A959" s="77"/>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c r="A960" s="77"/>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c r="A961" s="77"/>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c r="A962" s="77"/>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c r="A963" s="77"/>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c r="A964" s="77"/>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c r="A965" s="77"/>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c r="A966" s="77"/>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c r="A967" s="77"/>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c r="A968" s="77"/>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c r="A969" s="77"/>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c r="A970" s="77"/>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c r="A971" s="77"/>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c r="A972" s="77"/>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c r="A973" s="77"/>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c r="A974" s="77"/>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c r="A975" s="77"/>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c r="A976" s="77"/>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c r="A977" s="77"/>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c r="A978" s="77"/>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c r="A979" s="77"/>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c r="A980" s="77"/>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c r="A981" s="77"/>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c r="A982" s="77"/>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c r="A983" s="77"/>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c r="A984" s="77"/>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c r="A985" s="77"/>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c r="A986" s="77"/>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c r="A987" s="77"/>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c r="A988" s="77"/>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c r="A989" s="77"/>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row r="990">
      <c r="A990" s="77"/>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row>
    <row r="991">
      <c r="A991" s="77"/>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row>
    <row r="992">
      <c r="A992" s="77"/>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row>
    <row r="993">
      <c r="A993" s="77"/>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row>
    <row r="994">
      <c r="A994" s="77"/>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row>
    <row r="995">
      <c r="A995" s="77"/>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row>
    <row r="996">
      <c r="A996" s="77"/>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row>
    <row r="997">
      <c r="A997" s="77"/>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row>
    <row r="998">
      <c r="A998" s="77"/>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row>
    <row r="999">
      <c r="A999" s="77"/>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row>
    <row r="1000">
      <c r="A1000" s="77"/>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row>
    <row r="1001">
      <c r="A1001" s="77"/>
      <c r="B1001" s="77"/>
      <c r="C1001" s="77"/>
      <c r="D1001" s="77"/>
      <c r="E1001" s="77"/>
      <c r="F1001" s="77"/>
      <c r="G1001" s="77"/>
      <c r="H1001" s="77"/>
      <c r="I1001" s="77"/>
      <c r="J1001" s="77"/>
      <c r="K1001" s="77"/>
      <c r="L1001" s="77"/>
      <c r="M1001" s="77"/>
      <c r="N1001" s="77"/>
      <c r="O1001" s="77"/>
      <c r="P1001" s="77"/>
      <c r="Q1001" s="77"/>
      <c r="R1001" s="77"/>
      <c r="S1001" s="77"/>
      <c r="T1001" s="77"/>
      <c r="U1001" s="77"/>
      <c r="V1001" s="77"/>
      <c r="W1001" s="77"/>
      <c r="X1001" s="77"/>
      <c r="Y1001" s="77"/>
      <c r="Z1001" s="77"/>
    </row>
    <row r="1002">
      <c r="A1002" s="77"/>
      <c r="B1002" s="77"/>
      <c r="C1002" s="77"/>
      <c r="D1002" s="77"/>
      <c r="E1002" s="77"/>
      <c r="F1002" s="77"/>
      <c r="G1002" s="77"/>
      <c r="H1002" s="77"/>
      <c r="I1002" s="77"/>
      <c r="J1002" s="77"/>
      <c r="K1002" s="77"/>
      <c r="L1002" s="77"/>
      <c r="M1002" s="77"/>
      <c r="N1002" s="77"/>
      <c r="O1002" s="77"/>
      <c r="P1002" s="77"/>
      <c r="Q1002" s="77"/>
      <c r="R1002" s="77"/>
      <c r="S1002" s="77"/>
      <c r="T1002" s="77"/>
      <c r="U1002" s="77"/>
      <c r="V1002" s="77"/>
      <c r="W1002" s="77"/>
      <c r="X1002" s="77"/>
      <c r="Y1002" s="77"/>
      <c r="Z1002" s="77"/>
    </row>
    <row r="1003">
      <c r="A1003" s="77"/>
      <c r="B1003" s="77"/>
      <c r="C1003" s="77"/>
      <c r="D1003" s="77"/>
      <c r="E1003" s="77"/>
      <c r="F1003" s="77"/>
      <c r="G1003" s="77"/>
      <c r="H1003" s="77"/>
      <c r="I1003" s="77"/>
      <c r="J1003" s="77"/>
      <c r="K1003" s="77"/>
      <c r="L1003" s="77"/>
      <c r="M1003" s="77"/>
      <c r="N1003" s="77"/>
      <c r="O1003" s="77"/>
      <c r="P1003" s="77"/>
      <c r="Q1003" s="77"/>
      <c r="R1003" s="77"/>
      <c r="S1003" s="77"/>
      <c r="T1003" s="77"/>
      <c r="U1003" s="77"/>
      <c r="V1003" s="77"/>
      <c r="W1003" s="77"/>
      <c r="X1003" s="77"/>
      <c r="Y1003" s="77"/>
      <c r="Z1003" s="77"/>
    </row>
    <row r="1004">
      <c r="A1004" s="77"/>
      <c r="B1004" s="77"/>
      <c r="C1004" s="77"/>
      <c r="D1004" s="77"/>
      <c r="E1004" s="77"/>
      <c r="F1004" s="77"/>
      <c r="G1004" s="77"/>
      <c r="H1004" s="77"/>
      <c r="I1004" s="77"/>
      <c r="J1004" s="77"/>
      <c r="K1004" s="77"/>
      <c r="L1004" s="77"/>
      <c r="M1004" s="77"/>
      <c r="N1004" s="77"/>
      <c r="O1004" s="77"/>
      <c r="P1004" s="77"/>
      <c r="Q1004" s="77"/>
      <c r="R1004" s="77"/>
      <c r="S1004" s="77"/>
      <c r="T1004" s="77"/>
      <c r="U1004" s="77"/>
      <c r="V1004" s="77"/>
      <c r="W1004" s="77"/>
      <c r="X1004" s="77"/>
      <c r="Y1004" s="77"/>
      <c r="Z1004" s="77"/>
    </row>
    <row r="1005">
      <c r="A1005" s="77"/>
      <c r="B1005" s="77"/>
      <c r="C1005" s="77"/>
      <c r="D1005" s="77"/>
      <c r="E1005" s="77"/>
      <c r="F1005" s="77"/>
      <c r="G1005" s="77"/>
      <c r="H1005" s="77"/>
      <c r="I1005" s="77"/>
      <c r="J1005" s="77"/>
      <c r="K1005" s="77"/>
      <c r="L1005" s="77"/>
      <c r="M1005" s="77"/>
      <c r="N1005" s="77"/>
      <c r="O1005" s="77"/>
      <c r="P1005" s="77"/>
      <c r="Q1005" s="77"/>
      <c r="R1005" s="77"/>
      <c r="S1005" s="77"/>
      <c r="T1005" s="77"/>
      <c r="U1005" s="77"/>
      <c r="V1005" s="77"/>
      <c r="W1005" s="77"/>
      <c r="X1005" s="77"/>
      <c r="Y1005" s="77"/>
      <c r="Z1005" s="77"/>
    </row>
    <row r="1006">
      <c r="A1006" s="77"/>
      <c r="B1006" s="77"/>
      <c r="C1006" s="77"/>
      <c r="D1006" s="77"/>
      <c r="E1006" s="77"/>
      <c r="F1006" s="77"/>
      <c r="G1006" s="77"/>
      <c r="H1006" s="77"/>
      <c r="I1006" s="77"/>
      <c r="J1006" s="77"/>
      <c r="K1006" s="77"/>
      <c r="L1006" s="77"/>
      <c r="M1006" s="77"/>
      <c r="N1006" s="77"/>
      <c r="O1006" s="77"/>
      <c r="P1006" s="77"/>
      <c r="Q1006" s="77"/>
      <c r="R1006" s="77"/>
      <c r="S1006" s="77"/>
      <c r="T1006" s="77"/>
      <c r="U1006" s="77"/>
      <c r="V1006" s="77"/>
      <c r="W1006" s="77"/>
      <c r="X1006" s="77"/>
      <c r="Y1006" s="77"/>
      <c r="Z1006" s="77"/>
    </row>
    <row r="1007">
      <c r="A1007" s="77"/>
      <c r="B1007" s="77"/>
      <c r="C1007" s="77"/>
      <c r="D1007" s="77"/>
      <c r="E1007" s="77"/>
      <c r="F1007" s="77"/>
      <c r="G1007" s="77"/>
      <c r="H1007" s="77"/>
      <c r="I1007" s="77"/>
      <c r="J1007" s="77"/>
      <c r="K1007" s="77"/>
      <c r="L1007" s="77"/>
      <c r="M1007" s="77"/>
      <c r="N1007" s="77"/>
      <c r="O1007" s="77"/>
      <c r="P1007" s="77"/>
      <c r="Q1007" s="77"/>
      <c r="R1007" s="77"/>
      <c r="S1007" s="77"/>
      <c r="T1007" s="77"/>
      <c r="U1007" s="77"/>
      <c r="V1007" s="77"/>
      <c r="W1007" s="77"/>
      <c r="X1007" s="77"/>
      <c r="Y1007" s="77"/>
      <c r="Z1007" s="77"/>
    </row>
    <row r="1008">
      <c r="A1008" s="77"/>
      <c r="B1008" s="77"/>
      <c r="C1008" s="77"/>
      <c r="D1008" s="77"/>
      <c r="E1008" s="77"/>
      <c r="F1008" s="77"/>
      <c r="G1008" s="77"/>
      <c r="H1008" s="77"/>
      <c r="I1008" s="77"/>
      <c r="J1008" s="77"/>
      <c r="K1008" s="77"/>
      <c r="L1008" s="77"/>
      <c r="M1008" s="77"/>
      <c r="N1008" s="77"/>
      <c r="O1008" s="77"/>
      <c r="P1008" s="77"/>
      <c r="Q1008" s="77"/>
      <c r="R1008" s="77"/>
      <c r="S1008" s="77"/>
      <c r="T1008" s="77"/>
      <c r="U1008" s="77"/>
      <c r="V1008" s="77"/>
      <c r="W1008" s="77"/>
      <c r="X1008" s="77"/>
      <c r="Y1008" s="77"/>
      <c r="Z1008" s="77"/>
    </row>
    <row r="1009">
      <c r="A1009" s="77"/>
      <c r="B1009" s="77"/>
      <c r="C1009" s="77"/>
      <c r="D1009" s="77"/>
      <c r="E1009" s="77"/>
      <c r="F1009" s="77"/>
      <c r="G1009" s="77"/>
      <c r="H1009" s="77"/>
      <c r="I1009" s="77"/>
      <c r="J1009" s="77"/>
      <c r="K1009" s="77"/>
      <c r="L1009" s="77"/>
      <c r="M1009" s="77"/>
      <c r="N1009" s="77"/>
      <c r="O1009" s="77"/>
      <c r="P1009" s="77"/>
      <c r="Q1009" s="77"/>
      <c r="R1009" s="77"/>
      <c r="S1009" s="77"/>
      <c r="T1009" s="77"/>
      <c r="U1009" s="77"/>
      <c r="V1009" s="77"/>
      <c r="W1009" s="77"/>
      <c r="X1009" s="77"/>
      <c r="Y1009" s="77"/>
      <c r="Z1009" s="77"/>
    </row>
    <row r="1010">
      <c r="A1010" s="77"/>
      <c r="B1010" s="77"/>
      <c r="C1010" s="77"/>
      <c r="D1010" s="77"/>
      <c r="E1010" s="77"/>
      <c r="F1010" s="77"/>
      <c r="G1010" s="77"/>
      <c r="H1010" s="77"/>
      <c r="I1010" s="77"/>
      <c r="J1010" s="77"/>
      <c r="K1010" s="77"/>
      <c r="L1010" s="77"/>
      <c r="M1010" s="77"/>
      <c r="N1010" s="77"/>
      <c r="O1010" s="77"/>
      <c r="P1010" s="77"/>
      <c r="Q1010" s="77"/>
      <c r="R1010" s="77"/>
      <c r="S1010" s="77"/>
      <c r="T1010" s="77"/>
      <c r="U1010" s="77"/>
      <c r="V1010" s="77"/>
      <c r="W1010" s="77"/>
      <c r="X1010" s="77"/>
      <c r="Y1010" s="77"/>
      <c r="Z1010" s="77"/>
    </row>
    <row r="1011">
      <c r="A1011" s="77"/>
      <c r="B1011" s="77"/>
      <c r="C1011" s="77"/>
      <c r="D1011" s="77"/>
      <c r="E1011" s="77"/>
      <c r="F1011" s="77"/>
      <c r="G1011" s="77"/>
      <c r="H1011" s="77"/>
      <c r="I1011" s="77"/>
      <c r="J1011" s="77"/>
      <c r="K1011" s="77"/>
      <c r="L1011" s="77"/>
      <c r="M1011" s="77"/>
      <c r="N1011" s="77"/>
      <c r="O1011" s="77"/>
      <c r="P1011" s="77"/>
      <c r="Q1011" s="77"/>
      <c r="R1011" s="77"/>
      <c r="S1011" s="77"/>
      <c r="T1011" s="77"/>
      <c r="U1011" s="77"/>
      <c r="V1011" s="77"/>
      <c r="W1011" s="77"/>
      <c r="X1011" s="77"/>
      <c r="Y1011" s="77"/>
      <c r="Z1011" s="77"/>
    </row>
    <row r="1012">
      <c r="A1012" s="77"/>
      <c r="B1012" s="77"/>
      <c r="C1012" s="77"/>
      <c r="D1012" s="77"/>
      <c r="E1012" s="77"/>
      <c r="F1012" s="77"/>
      <c r="G1012" s="77"/>
      <c r="H1012" s="77"/>
      <c r="I1012" s="77"/>
      <c r="J1012" s="77"/>
      <c r="K1012" s="77"/>
      <c r="L1012" s="77"/>
      <c r="M1012" s="77"/>
      <c r="N1012" s="77"/>
      <c r="O1012" s="77"/>
      <c r="P1012" s="77"/>
      <c r="Q1012" s="77"/>
      <c r="R1012" s="77"/>
      <c r="S1012" s="77"/>
      <c r="T1012" s="77"/>
      <c r="U1012" s="77"/>
      <c r="V1012" s="77"/>
      <c r="W1012" s="77"/>
      <c r="X1012" s="77"/>
      <c r="Y1012" s="77"/>
      <c r="Z1012" s="77"/>
    </row>
    <row r="1013">
      <c r="A1013" s="77"/>
      <c r="B1013" s="77"/>
      <c r="C1013" s="77"/>
      <c r="D1013" s="77"/>
      <c r="E1013" s="77"/>
      <c r="F1013" s="77"/>
      <c r="G1013" s="77"/>
      <c r="H1013" s="77"/>
      <c r="I1013" s="77"/>
      <c r="J1013" s="77"/>
      <c r="K1013" s="77"/>
      <c r="L1013" s="77"/>
      <c r="M1013" s="77"/>
      <c r="N1013" s="77"/>
      <c r="O1013" s="77"/>
      <c r="P1013" s="77"/>
      <c r="Q1013" s="77"/>
      <c r="R1013" s="77"/>
      <c r="S1013" s="77"/>
      <c r="T1013" s="77"/>
      <c r="U1013" s="77"/>
      <c r="V1013" s="77"/>
      <c r="W1013" s="77"/>
      <c r="X1013" s="77"/>
      <c r="Y1013" s="77"/>
      <c r="Z1013" s="77"/>
    </row>
  </sheetData>
  <hyperlinks>
    <hyperlink r:id="rId1" ref="C2"/>
    <hyperlink r:id="rId2" ref="D2"/>
    <hyperlink r:id="rId3" ref="F2"/>
    <hyperlink r:id="rId4" ref="F3"/>
    <hyperlink r:id="rId5" ref="F4"/>
    <hyperlink r:id="rId6" ref="F5"/>
    <hyperlink r:id="rId7" ref="F6"/>
    <hyperlink r:id="rId8" ref="F7"/>
    <hyperlink r:id="rId9" ref="F8"/>
    <hyperlink r:id="rId10" ref="F9"/>
    <hyperlink r:id="rId11" ref="F10"/>
    <hyperlink r:id="rId12" ref="F11"/>
    <hyperlink r:id="rId13" ref="F12"/>
    <hyperlink r:id="rId14" ref="F13"/>
    <hyperlink r:id="rId15" ref="F14"/>
    <hyperlink r:id="rId16" ref="F16"/>
    <hyperlink r:id="rId17" ref="F17"/>
    <hyperlink r:id="rId18" ref="F18"/>
    <hyperlink r:id="rId19" ref="F20"/>
    <hyperlink r:id="rId20" ref="F21"/>
    <hyperlink r:id="rId21" ref="F22"/>
    <hyperlink r:id="rId22" ref="F23"/>
    <hyperlink r:id="rId23" ref="F24"/>
    <hyperlink r:id="rId24" ref="F25"/>
    <hyperlink r:id="rId25" ref="F26"/>
    <hyperlink r:id="rId26" ref="F28"/>
    <hyperlink r:id="rId27" ref="F29"/>
    <hyperlink r:id="rId28" ref="F31"/>
    <hyperlink r:id="rId29" ref="F32"/>
    <hyperlink r:id="rId30" ref="F35"/>
    <hyperlink r:id="rId31" ref="F36"/>
    <hyperlink r:id="rId32" ref="F37"/>
    <hyperlink r:id="rId33" ref="F38"/>
    <hyperlink r:id="rId34" ref="F40"/>
    <hyperlink r:id="rId35" location="page=59" ref="F41"/>
    <hyperlink r:id="rId36" ref="F42"/>
    <hyperlink r:id="rId37" ref="F43"/>
    <hyperlink r:id="rId38" ref="F44"/>
    <hyperlink r:id="rId39" ref="F45"/>
    <hyperlink r:id="rId40" ref="F46"/>
    <hyperlink r:id="rId41" ref="F47"/>
    <hyperlink r:id="rId42" ref="F57"/>
    <hyperlink r:id="rId43" ref="F58"/>
    <hyperlink r:id="rId44" ref="F59"/>
    <hyperlink r:id="rId45" ref="F60"/>
    <hyperlink r:id="rId46" ref="F61"/>
    <hyperlink r:id="rId47" ref="F62"/>
    <hyperlink r:id="rId48" ref="F63"/>
    <hyperlink r:id="rId49" ref="F64"/>
    <hyperlink r:id="rId50" ref="F65"/>
    <hyperlink r:id="rId51" ref="F66"/>
    <hyperlink r:id="rId52" ref="F67"/>
    <hyperlink r:id="rId53" ref="F68"/>
    <hyperlink r:id="rId54" ref="F69"/>
    <hyperlink r:id="rId55" ref="F70"/>
    <hyperlink r:id="rId56" ref="F71"/>
    <hyperlink r:id="rId57" ref="F72"/>
    <hyperlink r:id="rId58" ref="F73"/>
    <hyperlink r:id="rId59" ref="F74"/>
    <hyperlink r:id="rId60" ref="F75"/>
    <hyperlink r:id="rId61" ref="F76"/>
    <hyperlink r:id="rId62" ref="F77"/>
    <hyperlink r:id="rId63" ref="F78"/>
    <hyperlink r:id="rId64" ref="F79"/>
    <hyperlink r:id="rId65" ref="F80"/>
    <hyperlink r:id="rId66" ref="F81"/>
    <hyperlink r:id="rId67" ref="F82"/>
    <hyperlink r:id="rId68" ref="F83"/>
    <hyperlink r:id="rId69" ref="F84"/>
    <hyperlink r:id="rId70" ref="F85"/>
    <hyperlink r:id="rId71" ref="F86"/>
    <hyperlink r:id="rId72" ref="F87"/>
    <hyperlink r:id="rId73" ref="F88"/>
    <hyperlink r:id="rId74" ref="F90"/>
    <hyperlink r:id="rId75" ref="F91"/>
    <hyperlink r:id="rId76" ref="F92"/>
    <hyperlink r:id="rId77" ref="F93"/>
    <hyperlink r:id="rId78" ref="F94"/>
    <hyperlink r:id="rId79" ref="F95"/>
    <hyperlink r:id="rId80" ref="F96"/>
    <hyperlink r:id="rId81" ref="F97"/>
    <hyperlink r:id="rId82" ref="F98"/>
    <hyperlink r:id="rId83" ref="F99"/>
    <hyperlink r:id="rId84" ref="F100"/>
    <hyperlink r:id="rId85" ref="F101"/>
  </hyperlinks>
  <drawing r:id="rId8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0"/>
  </cols>
  <sheetData>
    <row r="1">
      <c r="A1" s="143" t="s">
        <v>669</v>
      </c>
      <c r="B1" s="143" t="s">
        <v>670</v>
      </c>
    </row>
    <row r="2">
      <c r="A2" s="143" t="s">
        <v>671</v>
      </c>
      <c r="B2" s="144">
        <v>55.0</v>
      </c>
    </row>
    <row r="3">
      <c r="A3" s="143" t="s">
        <v>625</v>
      </c>
      <c r="B3" s="144">
        <v>54.0</v>
      </c>
    </row>
    <row r="4">
      <c r="A4" s="143" t="s">
        <v>618</v>
      </c>
      <c r="B4" s="144">
        <v>50.0</v>
      </c>
    </row>
    <row r="5">
      <c r="A5" s="143" t="s">
        <v>621</v>
      </c>
      <c r="B5" s="144">
        <v>46.0</v>
      </c>
    </row>
    <row r="6">
      <c r="A6" s="143" t="s">
        <v>624</v>
      </c>
      <c r="B6" s="144">
        <v>37.0</v>
      </c>
    </row>
    <row r="7">
      <c r="A7" s="143" t="s">
        <v>622</v>
      </c>
      <c r="B7" s="144">
        <v>34.0</v>
      </c>
    </row>
    <row r="8">
      <c r="A8" s="143" t="s">
        <v>619</v>
      </c>
      <c r="B8" s="144">
        <v>27.0</v>
      </c>
    </row>
    <row r="9">
      <c r="A9" s="143" t="s">
        <v>623</v>
      </c>
      <c r="B9" s="144">
        <v>17.0</v>
      </c>
    </row>
    <row r="10">
      <c r="A10" s="143" t="s">
        <v>626</v>
      </c>
      <c r="B10" s="144">
        <v>29.0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38"/>
    <col customWidth="1" min="2" max="2" width="0.38"/>
    <col customWidth="1" min="3" max="3" width="40.75"/>
    <col customWidth="1" min="4" max="4" width="3.25"/>
    <col customWidth="1" min="6" max="6" width="49.0"/>
  </cols>
  <sheetData>
    <row r="1">
      <c r="A1" s="52" t="s">
        <v>18</v>
      </c>
      <c r="B1" s="52" t="s">
        <v>19</v>
      </c>
      <c r="C1" s="52" t="s">
        <v>20</v>
      </c>
      <c r="D1" s="52" t="s">
        <v>21</v>
      </c>
      <c r="E1" s="52" t="s">
        <v>22</v>
      </c>
      <c r="F1" s="52" t="s">
        <v>23</v>
      </c>
      <c r="G1" s="52" t="s">
        <v>24</v>
      </c>
    </row>
    <row r="2">
      <c r="A2" s="86" t="s">
        <v>62</v>
      </c>
      <c r="B2" s="86">
        <v>2021.0</v>
      </c>
      <c r="C2" s="86" t="s">
        <v>63</v>
      </c>
      <c r="D2" s="86" t="s">
        <v>64</v>
      </c>
      <c r="E2" s="86" t="s">
        <v>65</v>
      </c>
      <c r="F2" s="89" t="s">
        <v>66</v>
      </c>
      <c r="G2" s="90" t="s">
        <v>37</v>
      </c>
      <c r="H2" s="1" t="s">
        <v>672</v>
      </c>
    </row>
    <row r="3">
      <c r="A3" s="86" t="s">
        <v>632</v>
      </c>
      <c r="B3" s="86">
        <v>2019.0</v>
      </c>
      <c r="C3" s="86" t="s">
        <v>72</v>
      </c>
      <c r="D3" s="86" t="s">
        <v>73</v>
      </c>
      <c r="E3" s="86" t="s">
        <v>633</v>
      </c>
      <c r="F3" s="145" t="s">
        <v>74</v>
      </c>
      <c r="G3" s="90" t="s">
        <v>37</v>
      </c>
      <c r="H3" s="1" t="s">
        <v>672</v>
      </c>
    </row>
    <row r="4">
      <c r="A4" s="86" t="s">
        <v>172</v>
      </c>
      <c r="B4" s="90">
        <v>2025.0</v>
      </c>
      <c r="C4" s="146" t="s">
        <v>173</v>
      </c>
      <c r="D4" s="146" t="s">
        <v>174</v>
      </c>
      <c r="E4" s="90" t="s">
        <v>51</v>
      </c>
      <c r="F4" s="107" t="s">
        <v>175</v>
      </c>
      <c r="G4" s="90" t="s">
        <v>37</v>
      </c>
      <c r="H4" s="1" t="s">
        <v>672</v>
      </c>
    </row>
    <row r="5">
      <c r="A5" s="105" t="s">
        <v>319</v>
      </c>
      <c r="B5" s="86">
        <v>2025.0</v>
      </c>
      <c r="C5" s="146" t="s">
        <v>320</v>
      </c>
      <c r="D5" s="146" t="s">
        <v>321</v>
      </c>
      <c r="E5" s="90" t="s">
        <v>51</v>
      </c>
      <c r="F5" s="116" t="s">
        <v>322</v>
      </c>
      <c r="G5" s="90" t="s">
        <v>198</v>
      </c>
      <c r="H5" s="1" t="s">
        <v>672</v>
      </c>
    </row>
    <row r="6">
      <c r="A6" s="105" t="s">
        <v>324</v>
      </c>
      <c r="B6" s="86">
        <v>2023.0</v>
      </c>
      <c r="C6" s="146" t="s">
        <v>325</v>
      </c>
      <c r="D6" s="86" t="s">
        <v>326</v>
      </c>
      <c r="E6" s="90" t="s">
        <v>215</v>
      </c>
      <c r="F6" s="121" t="s">
        <v>327</v>
      </c>
      <c r="G6" s="90" t="s">
        <v>274</v>
      </c>
      <c r="H6" s="1" t="s">
        <v>672</v>
      </c>
    </row>
    <row r="7">
      <c r="A7" s="105" t="s">
        <v>328</v>
      </c>
      <c r="B7" s="86">
        <v>2025.0</v>
      </c>
      <c r="C7" s="147" t="s">
        <v>329</v>
      </c>
      <c r="D7" s="90" t="s">
        <v>330</v>
      </c>
      <c r="E7" s="90" t="s">
        <v>215</v>
      </c>
      <c r="F7" s="121" t="s">
        <v>331</v>
      </c>
      <c r="G7" s="90" t="s">
        <v>198</v>
      </c>
      <c r="H7" s="1" t="s">
        <v>672</v>
      </c>
    </row>
    <row r="8">
      <c r="A8" s="102" t="s">
        <v>129</v>
      </c>
      <c r="B8" s="86">
        <v>2016.0</v>
      </c>
      <c r="C8" s="86" t="s">
        <v>130</v>
      </c>
      <c r="D8" s="96" t="s">
        <v>131</v>
      </c>
      <c r="E8" s="86" t="s">
        <v>642</v>
      </c>
      <c r="F8" s="89" t="s">
        <v>133</v>
      </c>
      <c r="G8" s="90" t="s">
        <v>37</v>
      </c>
      <c r="H8" s="1"/>
    </row>
    <row r="9">
      <c r="A9" s="86" t="s">
        <v>89</v>
      </c>
      <c r="B9" s="90">
        <v>2013.0</v>
      </c>
      <c r="C9" s="90" t="s">
        <v>90</v>
      </c>
      <c r="D9" s="90" t="s">
        <v>91</v>
      </c>
      <c r="E9" s="90" t="s">
        <v>635</v>
      </c>
      <c r="F9" s="97" t="s">
        <v>92</v>
      </c>
      <c r="G9" s="90" t="s">
        <v>37</v>
      </c>
      <c r="H9" s="1" t="s">
        <v>673</v>
      </c>
    </row>
    <row r="10">
      <c r="A10" s="105" t="s">
        <v>338</v>
      </c>
      <c r="B10" s="86">
        <v>2025.0</v>
      </c>
      <c r="C10" s="148" t="s">
        <v>339</v>
      </c>
      <c r="D10" s="148" t="s">
        <v>340</v>
      </c>
      <c r="E10" s="90" t="s">
        <v>41</v>
      </c>
      <c r="F10" s="116" t="s">
        <v>341</v>
      </c>
      <c r="G10" s="90" t="s">
        <v>198</v>
      </c>
      <c r="H10" s="1" t="s">
        <v>673</v>
      </c>
    </row>
    <row r="11">
      <c r="A11" s="131" t="s">
        <v>275</v>
      </c>
      <c r="B11" s="149">
        <v>2025.0</v>
      </c>
      <c r="C11" s="131" t="s">
        <v>276</v>
      </c>
      <c r="D11" s="131" t="s">
        <v>277</v>
      </c>
      <c r="E11" s="125" t="s">
        <v>651</v>
      </c>
      <c r="F11" s="150" t="s">
        <v>279</v>
      </c>
      <c r="G11" s="90" t="s">
        <v>280</v>
      </c>
      <c r="H11" s="1" t="s">
        <v>623</v>
      </c>
    </row>
    <row r="12">
      <c r="A12" s="131" t="s">
        <v>294</v>
      </c>
      <c r="B12" s="149">
        <v>2024.0</v>
      </c>
      <c r="C12" s="131" t="s">
        <v>295</v>
      </c>
      <c r="D12" s="131" t="s">
        <v>296</v>
      </c>
      <c r="E12" s="131" t="s">
        <v>647</v>
      </c>
      <c r="F12" s="150" t="s">
        <v>297</v>
      </c>
      <c r="G12" s="90" t="s">
        <v>37</v>
      </c>
      <c r="H12" s="1" t="s">
        <v>623</v>
      </c>
    </row>
    <row r="13">
      <c r="A13" s="86" t="s">
        <v>75</v>
      </c>
      <c r="B13" s="86">
        <v>2023.0</v>
      </c>
      <c r="C13" s="86" t="s">
        <v>76</v>
      </c>
      <c r="D13" s="86" t="s">
        <v>77</v>
      </c>
      <c r="E13" s="86" t="s">
        <v>634</v>
      </c>
      <c r="F13" s="89" t="s">
        <v>78</v>
      </c>
      <c r="G13" s="90" t="s">
        <v>37</v>
      </c>
      <c r="H13" s="1" t="s">
        <v>623</v>
      </c>
    </row>
    <row r="14">
      <c r="A14" s="90" t="s">
        <v>163</v>
      </c>
      <c r="B14" s="90">
        <v>2022.0</v>
      </c>
      <c r="C14" s="90" t="s">
        <v>164</v>
      </c>
      <c r="D14" s="90" t="s">
        <v>165</v>
      </c>
      <c r="E14" s="90" t="s">
        <v>644</v>
      </c>
      <c r="F14" s="151" t="s">
        <v>166</v>
      </c>
      <c r="G14" s="137" t="s">
        <v>102</v>
      </c>
      <c r="H14" s="1" t="s">
        <v>673</v>
      </c>
    </row>
    <row r="15">
      <c r="A15" s="105" t="s">
        <v>332</v>
      </c>
      <c r="B15" s="86">
        <v>2024.0</v>
      </c>
      <c r="C15" s="90" t="s">
        <v>333</v>
      </c>
      <c r="D15" s="90" t="s">
        <v>334</v>
      </c>
      <c r="E15" s="90" t="s">
        <v>335</v>
      </c>
      <c r="F15" s="116" t="s">
        <v>336</v>
      </c>
      <c r="G15" s="90" t="s">
        <v>337</v>
      </c>
      <c r="H15" s="1" t="s">
        <v>673</v>
      </c>
    </row>
    <row r="16">
      <c r="A16" s="105" t="s">
        <v>343</v>
      </c>
      <c r="B16" s="86">
        <v>2022.0</v>
      </c>
      <c r="C16" s="86" t="s">
        <v>344</v>
      </c>
      <c r="D16" s="86" t="s">
        <v>345</v>
      </c>
      <c r="E16" s="90" t="s">
        <v>215</v>
      </c>
      <c r="F16" s="121" t="s">
        <v>346</v>
      </c>
      <c r="G16" s="90" t="s">
        <v>198</v>
      </c>
      <c r="H16" s="1" t="s">
        <v>673</v>
      </c>
    </row>
    <row r="17">
      <c r="A17" s="105" t="s">
        <v>347</v>
      </c>
      <c r="B17" s="86">
        <v>2022.0</v>
      </c>
      <c r="C17" s="86" t="s">
        <v>348</v>
      </c>
      <c r="D17" s="86" t="s">
        <v>349</v>
      </c>
      <c r="E17" s="90" t="s">
        <v>215</v>
      </c>
      <c r="F17" s="121" t="s">
        <v>350</v>
      </c>
      <c r="G17" s="90" t="s">
        <v>198</v>
      </c>
      <c r="H17" s="1" t="s">
        <v>673</v>
      </c>
    </row>
    <row r="18">
      <c r="A18" s="131" t="s">
        <v>302</v>
      </c>
      <c r="B18" s="149">
        <v>2024.0</v>
      </c>
      <c r="C18" s="131" t="s">
        <v>303</v>
      </c>
      <c r="D18" s="131" t="s">
        <v>304</v>
      </c>
      <c r="E18" s="125" t="s">
        <v>651</v>
      </c>
      <c r="F18" s="152" t="s">
        <v>305</v>
      </c>
      <c r="G18" s="90" t="s">
        <v>280</v>
      </c>
      <c r="H18" s="1" t="s">
        <v>623</v>
      </c>
    </row>
    <row r="19">
      <c r="A19" s="131" t="s">
        <v>306</v>
      </c>
      <c r="B19" s="149">
        <v>2025.0</v>
      </c>
      <c r="C19" s="131" t="s">
        <v>307</v>
      </c>
      <c r="D19" s="131" t="s">
        <v>308</v>
      </c>
      <c r="E19" s="125" t="s">
        <v>651</v>
      </c>
      <c r="F19" s="153" t="s">
        <v>309</v>
      </c>
      <c r="G19" s="90" t="s">
        <v>280</v>
      </c>
      <c r="H19" s="1" t="s">
        <v>623</v>
      </c>
    </row>
    <row r="20">
      <c r="A20" s="154" t="s">
        <v>430</v>
      </c>
      <c r="B20" s="155">
        <v>2024.0</v>
      </c>
      <c r="C20" s="135" t="s">
        <v>431</v>
      </c>
      <c r="D20" s="135" t="s">
        <v>432</v>
      </c>
      <c r="E20" s="135" t="s">
        <v>658</v>
      </c>
      <c r="F20" s="116" t="s">
        <v>433</v>
      </c>
      <c r="G20" s="90" t="s">
        <v>434</v>
      </c>
      <c r="H20" s="1" t="s">
        <v>673</v>
      </c>
    </row>
    <row r="21">
      <c r="A21" s="154" t="s">
        <v>441</v>
      </c>
      <c r="B21" s="155">
        <v>2020.0</v>
      </c>
      <c r="C21" s="135" t="s">
        <v>442</v>
      </c>
      <c r="D21" s="90" t="s">
        <v>443</v>
      </c>
      <c r="E21" s="135" t="s">
        <v>660</v>
      </c>
      <c r="F21" s="116" t="s">
        <v>444</v>
      </c>
      <c r="G21" s="90" t="s">
        <v>198</v>
      </c>
      <c r="H21" s="1" t="s">
        <v>674</v>
      </c>
    </row>
    <row r="22">
      <c r="A22" s="154" t="s">
        <v>460</v>
      </c>
      <c r="B22" s="155">
        <v>2024.0</v>
      </c>
      <c r="C22" s="135" t="s">
        <v>461</v>
      </c>
      <c r="D22" s="135" t="s">
        <v>462</v>
      </c>
      <c r="E22" s="135" t="s">
        <v>665</v>
      </c>
      <c r="F22" s="121" t="s">
        <v>463</v>
      </c>
      <c r="G22" s="90" t="s">
        <v>434</v>
      </c>
      <c r="H22" s="156" t="s">
        <v>675</v>
      </c>
    </row>
    <row r="23">
      <c r="A23" s="137" t="s">
        <v>613</v>
      </c>
      <c r="B23" s="138">
        <v>2024.0</v>
      </c>
      <c r="C23" s="136" t="s">
        <v>614</v>
      </c>
      <c r="D23" s="136" t="s">
        <v>615</v>
      </c>
      <c r="E23" s="136" t="s">
        <v>616</v>
      </c>
      <c r="F23" s="139" t="s">
        <v>617</v>
      </c>
      <c r="G23" s="90" t="s">
        <v>198</v>
      </c>
      <c r="H23" s="1" t="s">
        <v>676</v>
      </c>
    </row>
    <row r="25">
      <c r="A25" s="1" t="s">
        <v>677</v>
      </c>
    </row>
    <row r="27">
      <c r="C27" s="1" t="s">
        <v>678</v>
      </c>
    </row>
  </sheetData>
  <hyperlinks>
    <hyperlink r:id="rId1" ref="F2"/>
    <hyperlink r:id="rId2" ref="F3"/>
    <hyperlink r:id="rId3" ref="F5"/>
    <hyperlink r:id="rId4" ref="F6"/>
    <hyperlink r:id="rId5" ref="F7"/>
    <hyperlink r:id="rId6" ref="F8"/>
    <hyperlink r:id="rId7" ref="F10"/>
    <hyperlink r:id="rId8" ref="F11"/>
    <hyperlink r:id="rId9" ref="F12"/>
    <hyperlink r:id="rId10" ref="F13"/>
    <hyperlink r:id="rId11" ref="F14"/>
    <hyperlink r:id="rId12" ref="F15"/>
    <hyperlink r:id="rId13" ref="F16"/>
    <hyperlink r:id="rId14" ref="F17"/>
    <hyperlink r:id="rId15" ref="F18"/>
    <hyperlink r:id="rId16" ref="F19"/>
    <hyperlink r:id="rId17" ref="F20"/>
    <hyperlink r:id="rId18" ref="F21"/>
    <hyperlink r:id="rId19" ref="F22"/>
    <hyperlink r:id="rId20" ref="F23"/>
  </hyperlinks>
  <drawing r:id="rId2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21.75" customHeight="1">
      <c r="A1" s="157" t="s">
        <v>679</v>
      </c>
      <c r="B1" s="157" t="s">
        <v>680</v>
      </c>
    </row>
    <row r="2" ht="21.75" customHeight="1">
      <c r="A2" s="158">
        <v>2019.0</v>
      </c>
      <c r="B2" s="159">
        <v>4.0</v>
      </c>
    </row>
    <row r="3">
      <c r="A3" s="160">
        <f t="shared" ref="A3:A7" si="1">A2+1</f>
        <v>2020</v>
      </c>
      <c r="B3" s="159">
        <v>5.0</v>
      </c>
    </row>
    <row r="4">
      <c r="A4" s="160">
        <f t="shared" si="1"/>
        <v>2021</v>
      </c>
      <c r="B4" s="159">
        <v>3.0</v>
      </c>
    </row>
    <row r="5">
      <c r="A5" s="160">
        <f t="shared" si="1"/>
        <v>2022</v>
      </c>
      <c r="B5" s="159">
        <f>COUNTIFS('First Screening'!B23:B122, 2022, 'First Screening'!L23:L122, 1)
</f>
        <v>4</v>
      </c>
    </row>
    <row r="6">
      <c r="A6" s="160">
        <f t="shared" si="1"/>
        <v>2023</v>
      </c>
      <c r="B6" s="159">
        <f>COUNTIFS('First Screening'!B2:B101, 2023, 'First Screening'!L2:L101, 1)
</f>
        <v>8</v>
      </c>
    </row>
    <row r="7">
      <c r="A7" s="160">
        <f t="shared" si="1"/>
        <v>2024</v>
      </c>
      <c r="B7" s="159">
        <f>COUNTIFS('First Screening'!B2:B101, 2024, 'First Screening'!L2:L101, 1)
</f>
        <v>11</v>
      </c>
    </row>
    <row r="8">
      <c r="A8" s="158">
        <v>2025.0</v>
      </c>
      <c r="B8" s="3">
        <f>COUNTIFS('First Screening'!B2:B101, 2025, 'First Screening'!L2:L101, 1)</f>
        <v>5</v>
      </c>
    </row>
    <row r="9">
      <c r="A9" s="160"/>
      <c r="B9" s="159"/>
    </row>
    <row r="10">
      <c r="A10" s="160"/>
      <c r="B10" s="159"/>
    </row>
    <row r="11">
      <c r="A11" s="160"/>
      <c r="B11" s="159"/>
    </row>
    <row r="12">
      <c r="A12" s="160"/>
      <c r="B12" s="159"/>
    </row>
    <row r="13">
      <c r="A13" s="160"/>
      <c r="B13" s="159"/>
    </row>
    <row r="14">
      <c r="A14" s="160"/>
      <c r="B14" s="159"/>
    </row>
    <row r="15">
      <c r="A15" s="158"/>
      <c r="B15" s="159"/>
      <c r="K15" s="161"/>
    </row>
    <row r="16">
      <c r="A16" s="160"/>
      <c r="B16" s="159"/>
    </row>
    <row r="17">
      <c r="A17" s="160"/>
      <c r="B17" s="159"/>
    </row>
    <row r="18">
      <c r="A18" s="160"/>
      <c r="B18" s="159"/>
    </row>
    <row r="19">
      <c r="A19" s="160"/>
      <c r="B19" s="159"/>
    </row>
    <row r="20">
      <c r="A20" s="160"/>
      <c r="B20" s="159"/>
    </row>
    <row r="28">
      <c r="A28" s="160"/>
      <c r="B28" s="3"/>
    </row>
    <row r="29">
      <c r="A29" s="160"/>
      <c r="B29" s="3"/>
    </row>
    <row r="30">
      <c r="A30" s="160"/>
      <c r="B30" s="3"/>
    </row>
    <row r="31">
      <c r="A31" s="160"/>
      <c r="B31" s="3"/>
    </row>
    <row r="32">
      <c r="A32" s="160"/>
      <c r="B32" s="3"/>
    </row>
    <row r="33">
      <c r="A33" s="160"/>
      <c r="B33" s="3"/>
    </row>
    <row r="34">
      <c r="A34" s="160"/>
      <c r="B34" s="3"/>
    </row>
    <row r="35">
      <c r="A35" s="160"/>
      <c r="B35" s="3"/>
    </row>
    <row r="36">
      <c r="A36" s="160"/>
      <c r="B36" s="3"/>
    </row>
    <row r="37">
      <c r="A37" s="160"/>
      <c r="B37" s="3"/>
    </row>
    <row r="38">
      <c r="A38" s="160"/>
      <c r="B38" s="3"/>
    </row>
    <row r="39">
      <c r="A39" s="160"/>
      <c r="B39" s="3"/>
    </row>
    <row r="40">
      <c r="A40" s="160"/>
      <c r="B40" s="3"/>
    </row>
    <row r="41">
      <c r="A41" s="160"/>
      <c r="B41" s="3"/>
    </row>
    <row r="42">
      <c r="A42" s="160"/>
      <c r="B42" s="3"/>
    </row>
    <row r="43">
      <c r="A43" s="160"/>
      <c r="B43" s="3"/>
    </row>
    <row r="44">
      <c r="A44" s="160"/>
      <c r="B44" s="3"/>
    </row>
    <row r="45">
      <c r="A45" s="160"/>
      <c r="B45" s="3"/>
    </row>
    <row r="46">
      <c r="A46" s="160"/>
      <c r="B46" s="3"/>
    </row>
    <row r="47">
      <c r="A47" s="160"/>
      <c r="B47" s="3"/>
    </row>
    <row r="48">
      <c r="A48" s="160"/>
      <c r="B48" s="3"/>
    </row>
    <row r="49">
      <c r="A49" s="160"/>
      <c r="B49" s="3"/>
    </row>
    <row r="50">
      <c r="A50" s="160"/>
      <c r="B50" s="3"/>
    </row>
    <row r="51">
      <c r="A51" s="160"/>
      <c r="B51" s="3"/>
    </row>
    <row r="52">
      <c r="A52" s="160"/>
      <c r="B52" s="3"/>
    </row>
    <row r="53">
      <c r="A53" s="160"/>
      <c r="B53" s="3"/>
    </row>
    <row r="54">
      <c r="A54" s="160"/>
      <c r="B54" s="3"/>
    </row>
    <row r="55">
      <c r="A55" s="160"/>
      <c r="B55" s="3"/>
    </row>
    <row r="56">
      <c r="A56" s="160"/>
      <c r="B56" s="3"/>
    </row>
    <row r="57">
      <c r="A57" s="160"/>
      <c r="B57" s="3"/>
    </row>
    <row r="58">
      <c r="A58" s="160"/>
      <c r="B58" s="3"/>
    </row>
    <row r="59">
      <c r="A59" s="160"/>
      <c r="B59" s="3"/>
    </row>
    <row r="60">
      <c r="A60" s="160"/>
      <c r="B60" s="3"/>
    </row>
    <row r="61">
      <c r="A61" s="160"/>
      <c r="B61" s="3"/>
    </row>
    <row r="62">
      <c r="A62" s="160"/>
      <c r="B62" s="3"/>
    </row>
    <row r="63">
      <c r="A63" s="160"/>
      <c r="B63" s="3"/>
    </row>
    <row r="64">
      <c r="A64" s="160"/>
      <c r="B64" s="3"/>
    </row>
    <row r="65">
      <c r="A65" s="160"/>
      <c r="B65" s="3"/>
    </row>
    <row r="66">
      <c r="A66" s="160"/>
      <c r="B66" s="3"/>
    </row>
    <row r="67">
      <c r="A67" s="160"/>
      <c r="B67" s="3"/>
    </row>
    <row r="68">
      <c r="A68" s="160"/>
      <c r="B68" s="3"/>
    </row>
    <row r="69">
      <c r="A69" s="160"/>
      <c r="B69" s="3"/>
    </row>
    <row r="70">
      <c r="A70" s="160"/>
      <c r="B70" s="3"/>
    </row>
    <row r="71">
      <c r="A71" s="160"/>
      <c r="B71" s="3"/>
    </row>
    <row r="72">
      <c r="A72" s="160"/>
      <c r="B72" s="3"/>
    </row>
    <row r="73">
      <c r="A73" s="160"/>
      <c r="B73" s="3"/>
    </row>
    <row r="74">
      <c r="A74" s="160"/>
      <c r="B74" s="3"/>
    </row>
    <row r="75">
      <c r="A75" s="160"/>
      <c r="B75" s="3"/>
    </row>
    <row r="76">
      <c r="A76" s="160"/>
      <c r="B76" s="3"/>
    </row>
    <row r="77">
      <c r="A77" s="160"/>
      <c r="B77" s="3"/>
    </row>
    <row r="78">
      <c r="A78" s="160"/>
      <c r="B78" s="3"/>
    </row>
    <row r="79">
      <c r="A79" s="160"/>
      <c r="B79" s="3"/>
    </row>
    <row r="80">
      <c r="A80" s="160"/>
      <c r="B80" s="3"/>
    </row>
    <row r="81">
      <c r="A81" s="160"/>
      <c r="B81" s="3"/>
    </row>
    <row r="82">
      <c r="A82" s="160"/>
      <c r="B82" s="3"/>
    </row>
    <row r="83">
      <c r="A83" s="160"/>
      <c r="B83" s="3"/>
    </row>
    <row r="84">
      <c r="A84" s="160"/>
      <c r="B84" s="3"/>
    </row>
    <row r="85">
      <c r="A85" s="160"/>
      <c r="B85" s="3"/>
    </row>
    <row r="86">
      <c r="A86" s="160"/>
      <c r="B86" s="3"/>
    </row>
    <row r="87">
      <c r="A87" s="160"/>
      <c r="B87" s="3"/>
    </row>
    <row r="88">
      <c r="A88" s="160"/>
      <c r="B88" s="3"/>
    </row>
    <row r="89">
      <c r="A89" s="160"/>
      <c r="B89" s="3"/>
    </row>
    <row r="90">
      <c r="A90" s="160"/>
      <c r="B90" s="3"/>
    </row>
    <row r="91">
      <c r="A91" s="160"/>
      <c r="B91" s="3"/>
    </row>
    <row r="92">
      <c r="A92" s="160"/>
      <c r="B92" s="3"/>
    </row>
    <row r="93">
      <c r="A93" s="160"/>
      <c r="B93" s="3"/>
    </row>
    <row r="94">
      <c r="A94" s="160"/>
      <c r="B94" s="3"/>
    </row>
    <row r="95">
      <c r="A95" s="160"/>
      <c r="B95" s="3"/>
    </row>
    <row r="96">
      <c r="A96" s="160"/>
      <c r="B96" s="3"/>
    </row>
    <row r="97">
      <c r="A97" s="160"/>
      <c r="B97" s="3"/>
    </row>
    <row r="98">
      <c r="A98" s="160"/>
      <c r="B98" s="3"/>
    </row>
    <row r="99">
      <c r="A99" s="160"/>
      <c r="B99" s="3"/>
    </row>
    <row r="100">
      <c r="A100" s="160"/>
      <c r="B100" s="3"/>
    </row>
    <row r="101">
      <c r="A101" s="160"/>
      <c r="B101" s="3"/>
    </row>
    <row r="102">
      <c r="A102" s="160"/>
      <c r="B102" s="3"/>
    </row>
    <row r="103">
      <c r="A103" s="160"/>
      <c r="B103" s="3"/>
    </row>
    <row r="104">
      <c r="A104" s="160"/>
      <c r="B104" s="3"/>
    </row>
    <row r="105">
      <c r="A105" s="160"/>
      <c r="B105" s="3"/>
    </row>
    <row r="106">
      <c r="A106" s="160"/>
      <c r="B106" s="3"/>
    </row>
    <row r="107">
      <c r="A107" s="160"/>
      <c r="B107" s="3"/>
    </row>
    <row r="108">
      <c r="A108" s="160"/>
      <c r="B108" s="3"/>
    </row>
    <row r="109">
      <c r="A109" s="160"/>
      <c r="B109" s="3"/>
    </row>
    <row r="110">
      <c r="A110" s="160"/>
      <c r="B110" s="3"/>
    </row>
    <row r="111">
      <c r="A111" s="160"/>
      <c r="B111" s="3"/>
    </row>
    <row r="112">
      <c r="A112" s="160"/>
      <c r="B112" s="3"/>
    </row>
    <row r="113">
      <c r="A113" s="160"/>
      <c r="B113" s="3"/>
    </row>
    <row r="114">
      <c r="A114" s="160"/>
      <c r="B114" s="3"/>
    </row>
    <row r="115">
      <c r="A115" s="160"/>
      <c r="B115" s="3"/>
    </row>
    <row r="116">
      <c r="A116" s="160"/>
      <c r="B116" s="3"/>
    </row>
    <row r="117">
      <c r="A117" s="160"/>
      <c r="B117" s="3"/>
    </row>
    <row r="118">
      <c r="A118" s="160"/>
      <c r="B118" s="3"/>
    </row>
    <row r="119">
      <c r="A119" s="160"/>
      <c r="B119" s="3"/>
    </row>
    <row r="120">
      <c r="A120" s="160"/>
      <c r="B120" s="3"/>
    </row>
    <row r="121">
      <c r="A121" s="160"/>
      <c r="B121" s="3"/>
    </row>
    <row r="122">
      <c r="A122" s="160"/>
      <c r="B122" s="3"/>
    </row>
    <row r="123">
      <c r="A123" s="160"/>
      <c r="B123" s="3"/>
    </row>
    <row r="124">
      <c r="A124" s="160"/>
      <c r="B124" s="3"/>
    </row>
    <row r="125">
      <c r="A125" s="160"/>
      <c r="B125" s="3"/>
    </row>
    <row r="126">
      <c r="A126" s="160"/>
      <c r="B126" s="3"/>
    </row>
    <row r="127">
      <c r="A127" s="160"/>
      <c r="B127" s="3"/>
    </row>
    <row r="128">
      <c r="A128" s="160"/>
      <c r="B128" s="3"/>
    </row>
    <row r="129">
      <c r="A129" s="160"/>
      <c r="B129" s="3"/>
    </row>
    <row r="130">
      <c r="A130" s="160"/>
      <c r="B130" s="3"/>
    </row>
    <row r="131">
      <c r="A131" s="160"/>
      <c r="B131" s="3"/>
    </row>
    <row r="132">
      <c r="A132" s="160"/>
      <c r="B132" s="3"/>
    </row>
    <row r="133">
      <c r="A133" s="160"/>
      <c r="B133" s="3"/>
    </row>
    <row r="134">
      <c r="A134" s="160"/>
      <c r="B134" s="3"/>
    </row>
    <row r="135">
      <c r="A135" s="160"/>
      <c r="B135" s="3"/>
    </row>
    <row r="136">
      <c r="A136" s="160"/>
      <c r="B136" s="3"/>
    </row>
    <row r="137">
      <c r="A137" s="160"/>
      <c r="B137" s="3"/>
    </row>
    <row r="138">
      <c r="A138" s="160"/>
      <c r="B138" s="3"/>
    </row>
    <row r="139">
      <c r="A139" s="160"/>
      <c r="B139" s="3"/>
    </row>
    <row r="140">
      <c r="A140" s="160"/>
      <c r="B140" s="3"/>
    </row>
    <row r="141">
      <c r="A141" s="160"/>
      <c r="B141" s="3"/>
    </row>
    <row r="142">
      <c r="A142" s="160"/>
      <c r="B142" s="3"/>
    </row>
    <row r="143">
      <c r="A143" s="160"/>
      <c r="B143" s="3"/>
    </row>
    <row r="144">
      <c r="A144" s="160"/>
      <c r="B144" s="3"/>
    </row>
    <row r="145">
      <c r="A145" s="160"/>
      <c r="B145" s="3"/>
    </row>
    <row r="146">
      <c r="A146" s="160"/>
      <c r="B146" s="3"/>
    </row>
    <row r="147">
      <c r="A147" s="160"/>
      <c r="B147" s="3"/>
    </row>
    <row r="148">
      <c r="A148" s="160"/>
      <c r="B148" s="3"/>
    </row>
    <row r="149">
      <c r="A149" s="160"/>
      <c r="B149" s="3"/>
    </row>
    <row r="150">
      <c r="A150" s="160"/>
      <c r="B150" s="3"/>
    </row>
    <row r="151">
      <c r="A151" s="160"/>
      <c r="B151" s="3"/>
    </row>
    <row r="152">
      <c r="A152" s="160"/>
      <c r="B152" s="3"/>
    </row>
    <row r="153">
      <c r="A153" s="160"/>
      <c r="B153" s="3"/>
    </row>
    <row r="154">
      <c r="A154" s="160"/>
      <c r="B154" s="3"/>
    </row>
    <row r="155">
      <c r="A155" s="160"/>
      <c r="B155" s="3"/>
    </row>
    <row r="156">
      <c r="A156" s="160"/>
      <c r="B156" s="3"/>
    </row>
    <row r="157">
      <c r="A157" s="160"/>
      <c r="B157" s="3"/>
    </row>
    <row r="158">
      <c r="A158" s="160"/>
      <c r="B158" s="3"/>
    </row>
    <row r="159">
      <c r="A159" s="160"/>
      <c r="B159" s="3"/>
    </row>
    <row r="160">
      <c r="A160" s="160"/>
      <c r="B160" s="3"/>
    </row>
    <row r="161">
      <c r="A161" s="160"/>
      <c r="B161" s="3"/>
    </row>
    <row r="162">
      <c r="A162" s="160"/>
      <c r="B162" s="3"/>
    </row>
    <row r="163">
      <c r="A163" s="160"/>
      <c r="B163" s="3"/>
    </row>
    <row r="164">
      <c r="A164" s="160"/>
      <c r="B164" s="3"/>
    </row>
    <row r="165">
      <c r="A165" s="160"/>
      <c r="B165" s="3"/>
    </row>
    <row r="166">
      <c r="A166" s="160"/>
      <c r="B166" s="3"/>
    </row>
    <row r="167">
      <c r="A167" s="160"/>
      <c r="B167" s="3"/>
    </row>
    <row r="168">
      <c r="A168" s="160"/>
      <c r="B168" s="3"/>
    </row>
    <row r="169">
      <c r="A169" s="160"/>
      <c r="B169" s="3"/>
    </row>
    <row r="170">
      <c r="A170" s="160"/>
      <c r="B170" s="3"/>
    </row>
    <row r="171">
      <c r="A171" s="160"/>
      <c r="B171" s="3"/>
    </row>
    <row r="172">
      <c r="A172" s="160"/>
      <c r="B172" s="3"/>
    </row>
    <row r="173">
      <c r="A173" s="160"/>
      <c r="B173" s="3"/>
    </row>
    <row r="174">
      <c r="A174" s="160"/>
      <c r="B174" s="3"/>
    </row>
    <row r="175">
      <c r="A175" s="160"/>
      <c r="B175" s="3"/>
    </row>
    <row r="176">
      <c r="A176" s="160"/>
      <c r="B176" s="3"/>
    </row>
    <row r="177">
      <c r="A177" s="160"/>
      <c r="B177" s="3"/>
    </row>
    <row r="178">
      <c r="A178" s="160"/>
      <c r="B178" s="3"/>
    </row>
    <row r="179">
      <c r="A179" s="160"/>
      <c r="B179" s="3"/>
    </row>
    <row r="180">
      <c r="A180" s="160"/>
      <c r="B180" s="3"/>
    </row>
    <row r="181">
      <c r="A181" s="160"/>
      <c r="B181" s="3"/>
    </row>
    <row r="182">
      <c r="A182" s="160"/>
      <c r="B182" s="3"/>
    </row>
    <row r="183">
      <c r="A183" s="160"/>
      <c r="B183" s="3"/>
    </row>
    <row r="184">
      <c r="A184" s="160"/>
      <c r="B184" s="3"/>
    </row>
    <row r="185">
      <c r="A185" s="160"/>
      <c r="B185" s="3"/>
    </row>
    <row r="186">
      <c r="A186" s="160"/>
      <c r="B186" s="3"/>
    </row>
    <row r="187">
      <c r="A187" s="160"/>
      <c r="B187" s="3"/>
    </row>
    <row r="188">
      <c r="A188" s="160"/>
      <c r="B188" s="3"/>
    </row>
    <row r="189">
      <c r="A189" s="160"/>
      <c r="B189" s="3"/>
    </row>
    <row r="190">
      <c r="A190" s="160"/>
      <c r="B190" s="3"/>
    </row>
    <row r="191">
      <c r="A191" s="160"/>
      <c r="B191" s="3"/>
    </row>
    <row r="192">
      <c r="A192" s="160"/>
      <c r="B192" s="3"/>
    </row>
    <row r="193">
      <c r="A193" s="160"/>
      <c r="B193" s="3"/>
    </row>
    <row r="194">
      <c r="A194" s="160"/>
      <c r="B194" s="3"/>
    </row>
    <row r="195">
      <c r="A195" s="160"/>
      <c r="B195" s="3"/>
    </row>
    <row r="196">
      <c r="A196" s="160"/>
      <c r="B196" s="3"/>
    </row>
    <row r="197">
      <c r="A197" s="160"/>
      <c r="B197" s="3"/>
    </row>
    <row r="198">
      <c r="A198" s="160"/>
      <c r="B198" s="3"/>
    </row>
    <row r="199">
      <c r="A199" s="160"/>
      <c r="B199" s="3"/>
    </row>
    <row r="200">
      <c r="A200" s="160"/>
      <c r="B200" s="3"/>
    </row>
    <row r="201">
      <c r="A201" s="160"/>
      <c r="B201" s="3"/>
    </row>
    <row r="202">
      <c r="A202" s="160"/>
      <c r="B202" s="3"/>
    </row>
    <row r="203">
      <c r="A203" s="160"/>
      <c r="B203" s="3"/>
    </row>
    <row r="204">
      <c r="A204" s="160"/>
      <c r="B204" s="3"/>
    </row>
    <row r="205">
      <c r="A205" s="160"/>
      <c r="B205" s="3"/>
    </row>
    <row r="206">
      <c r="A206" s="160"/>
      <c r="B206" s="3"/>
    </row>
    <row r="207">
      <c r="A207" s="160"/>
      <c r="B207" s="3"/>
    </row>
    <row r="208">
      <c r="A208" s="160"/>
      <c r="B208" s="3"/>
    </row>
    <row r="209">
      <c r="A209" s="160"/>
      <c r="B209" s="3"/>
    </row>
    <row r="210">
      <c r="A210" s="160"/>
      <c r="B210" s="3"/>
    </row>
    <row r="211">
      <c r="A211" s="160"/>
      <c r="B211" s="3"/>
    </row>
    <row r="212">
      <c r="A212" s="160"/>
      <c r="B212" s="3"/>
    </row>
    <row r="213">
      <c r="A213" s="160"/>
      <c r="B213" s="3"/>
    </row>
    <row r="214">
      <c r="A214" s="160"/>
      <c r="B214" s="3"/>
    </row>
    <row r="215">
      <c r="A215" s="160"/>
      <c r="B215" s="3"/>
    </row>
    <row r="216">
      <c r="A216" s="160"/>
      <c r="B216" s="3"/>
    </row>
    <row r="217">
      <c r="A217" s="160"/>
      <c r="B217" s="3"/>
    </row>
    <row r="218">
      <c r="A218" s="160"/>
      <c r="B218" s="3"/>
    </row>
    <row r="219">
      <c r="A219" s="160"/>
      <c r="B219" s="3"/>
    </row>
    <row r="220">
      <c r="A220" s="160"/>
      <c r="B220" s="3"/>
    </row>
    <row r="221">
      <c r="A221" s="160"/>
      <c r="B221" s="3"/>
    </row>
    <row r="222">
      <c r="A222" s="160"/>
      <c r="B222" s="3"/>
    </row>
    <row r="223">
      <c r="A223" s="160"/>
      <c r="B223" s="3"/>
    </row>
    <row r="224">
      <c r="A224" s="160"/>
      <c r="B224" s="3"/>
    </row>
    <row r="225">
      <c r="A225" s="160"/>
      <c r="B225" s="3"/>
    </row>
    <row r="226">
      <c r="A226" s="160"/>
      <c r="B226" s="3"/>
    </row>
    <row r="227">
      <c r="A227" s="160"/>
      <c r="B227" s="3"/>
    </row>
    <row r="228">
      <c r="A228" s="160"/>
      <c r="B228" s="3"/>
    </row>
    <row r="229">
      <c r="A229" s="160"/>
      <c r="B229" s="3"/>
    </row>
    <row r="230">
      <c r="A230" s="160"/>
      <c r="B230" s="3"/>
    </row>
    <row r="231">
      <c r="A231" s="160"/>
      <c r="B231" s="3"/>
    </row>
    <row r="232">
      <c r="A232" s="160"/>
      <c r="B232" s="3"/>
    </row>
    <row r="233">
      <c r="A233" s="160"/>
      <c r="B233" s="3"/>
    </row>
    <row r="234">
      <c r="A234" s="160"/>
      <c r="B234" s="3"/>
    </row>
    <row r="235">
      <c r="A235" s="160"/>
      <c r="B235" s="3"/>
    </row>
    <row r="236">
      <c r="A236" s="160"/>
      <c r="B236" s="3"/>
    </row>
    <row r="237">
      <c r="A237" s="160"/>
      <c r="B237" s="3"/>
    </row>
    <row r="238">
      <c r="A238" s="160"/>
      <c r="B238" s="3"/>
    </row>
    <row r="239">
      <c r="A239" s="160"/>
      <c r="B239" s="3"/>
    </row>
    <row r="240">
      <c r="A240" s="160"/>
      <c r="B240" s="3"/>
    </row>
    <row r="241">
      <c r="A241" s="160"/>
      <c r="B241" s="3"/>
    </row>
    <row r="242">
      <c r="A242" s="160"/>
      <c r="B242" s="3"/>
    </row>
    <row r="243">
      <c r="A243" s="160"/>
      <c r="B243" s="3"/>
    </row>
    <row r="244">
      <c r="A244" s="160"/>
      <c r="B244" s="3"/>
    </row>
    <row r="245">
      <c r="A245" s="160"/>
      <c r="B245" s="3"/>
    </row>
    <row r="246">
      <c r="A246" s="160"/>
      <c r="B246" s="3"/>
    </row>
    <row r="247">
      <c r="A247" s="160"/>
      <c r="B247" s="3"/>
    </row>
    <row r="248">
      <c r="A248" s="160"/>
      <c r="B248" s="3"/>
    </row>
    <row r="249">
      <c r="A249" s="160"/>
      <c r="B249" s="3"/>
    </row>
    <row r="250">
      <c r="A250" s="160"/>
      <c r="B250" s="3"/>
    </row>
    <row r="251">
      <c r="A251" s="160"/>
      <c r="B251" s="3"/>
    </row>
    <row r="252">
      <c r="A252" s="160"/>
      <c r="B252" s="3"/>
    </row>
    <row r="253">
      <c r="A253" s="160"/>
      <c r="B253" s="3"/>
    </row>
    <row r="254">
      <c r="A254" s="160"/>
      <c r="B254" s="3"/>
    </row>
    <row r="255">
      <c r="A255" s="160"/>
      <c r="B255" s="3"/>
    </row>
    <row r="256">
      <c r="A256" s="160"/>
      <c r="B256" s="3"/>
    </row>
    <row r="257">
      <c r="A257" s="160"/>
      <c r="B257" s="3"/>
    </row>
    <row r="258">
      <c r="A258" s="160"/>
      <c r="B258" s="3"/>
    </row>
    <row r="259">
      <c r="A259" s="160"/>
      <c r="B259" s="3"/>
    </row>
    <row r="260">
      <c r="A260" s="160"/>
      <c r="B260" s="3"/>
    </row>
    <row r="261">
      <c r="A261" s="160"/>
      <c r="B261" s="3"/>
    </row>
    <row r="262">
      <c r="A262" s="160"/>
      <c r="B262" s="3"/>
    </row>
    <row r="263">
      <c r="A263" s="160"/>
      <c r="B263" s="3"/>
    </row>
    <row r="264">
      <c r="A264" s="160"/>
      <c r="B264" s="3"/>
    </row>
    <row r="265">
      <c r="A265" s="160"/>
      <c r="B265" s="3"/>
    </row>
    <row r="266">
      <c r="A266" s="160"/>
      <c r="B266" s="3"/>
    </row>
    <row r="267">
      <c r="A267" s="160"/>
      <c r="B267" s="3"/>
    </row>
    <row r="268">
      <c r="A268" s="160"/>
      <c r="B268" s="3"/>
    </row>
    <row r="269">
      <c r="A269" s="160"/>
      <c r="B269" s="3"/>
    </row>
    <row r="270">
      <c r="A270" s="160"/>
      <c r="B270" s="3"/>
    </row>
    <row r="271">
      <c r="A271" s="160"/>
      <c r="B271" s="3"/>
    </row>
    <row r="272">
      <c r="A272" s="160"/>
      <c r="B272" s="3"/>
    </row>
    <row r="273">
      <c r="A273" s="160"/>
      <c r="B273" s="3"/>
    </row>
    <row r="274">
      <c r="A274" s="160"/>
      <c r="B274" s="3"/>
    </row>
    <row r="275">
      <c r="A275" s="160"/>
      <c r="B275" s="3"/>
    </row>
    <row r="276">
      <c r="A276" s="160"/>
      <c r="B276" s="3"/>
    </row>
    <row r="277">
      <c r="A277" s="160"/>
      <c r="B277" s="3"/>
    </row>
    <row r="278">
      <c r="A278" s="160"/>
      <c r="B278" s="3"/>
    </row>
    <row r="279">
      <c r="A279" s="160"/>
      <c r="B279" s="3"/>
    </row>
    <row r="280">
      <c r="A280" s="160"/>
      <c r="B280" s="3"/>
    </row>
    <row r="281">
      <c r="A281" s="160"/>
      <c r="B281" s="3"/>
    </row>
    <row r="282">
      <c r="A282" s="160"/>
      <c r="B282" s="3"/>
    </row>
    <row r="283">
      <c r="A283" s="160"/>
      <c r="B283" s="3"/>
    </row>
    <row r="284">
      <c r="A284" s="160"/>
      <c r="B284" s="3"/>
    </row>
    <row r="285">
      <c r="A285" s="160"/>
      <c r="B285" s="3"/>
    </row>
    <row r="286">
      <c r="A286" s="160"/>
      <c r="B286" s="3"/>
    </row>
    <row r="287">
      <c r="A287" s="160"/>
      <c r="B287" s="3"/>
    </row>
    <row r="288">
      <c r="A288" s="160"/>
      <c r="B288" s="3"/>
    </row>
    <row r="289">
      <c r="A289" s="160"/>
      <c r="B289" s="3"/>
    </row>
    <row r="290">
      <c r="A290" s="160"/>
      <c r="B290" s="3"/>
    </row>
    <row r="291">
      <c r="A291" s="160"/>
      <c r="B291" s="3"/>
    </row>
    <row r="292">
      <c r="A292" s="160"/>
      <c r="B292" s="3"/>
    </row>
    <row r="293">
      <c r="A293" s="160"/>
      <c r="B293" s="3"/>
    </row>
    <row r="294">
      <c r="A294" s="160"/>
      <c r="B294" s="3"/>
    </row>
    <row r="295">
      <c r="A295" s="160"/>
      <c r="B295" s="3"/>
    </row>
    <row r="296">
      <c r="A296" s="160"/>
      <c r="B296" s="3"/>
    </row>
    <row r="297">
      <c r="A297" s="160"/>
      <c r="B297" s="3"/>
    </row>
    <row r="298">
      <c r="A298" s="160"/>
      <c r="B298" s="3"/>
    </row>
    <row r="299">
      <c r="A299" s="160"/>
      <c r="B299" s="3"/>
    </row>
    <row r="300">
      <c r="A300" s="160"/>
      <c r="B300" s="3"/>
    </row>
    <row r="301">
      <c r="A301" s="160"/>
      <c r="B301" s="3"/>
    </row>
    <row r="302">
      <c r="A302" s="160"/>
      <c r="B302" s="3"/>
    </row>
    <row r="303">
      <c r="A303" s="160"/>
      <c r="B303" s="3"/>
    </row>
    <row r="304">
      <c r="A304" s="160"/>
      <c r="B304" s="3"/>
    </row>
    <row r="305">
      <c r="A305" s="160"/>
      <c r="B305" s="3"/>
    </row>
    <row r="306">
      <c r="A306" s="160"/>
      <c r="B306" s="3"/>
    </row>
    <row r="307">
      <c r="A307" s="160"/>
      <c r="B307" s="3"/>
    </row>
    <row r="308">
      <c r="A308" s="160"/>
      <c r="B308" s="3"/>
    </row>
    <row r="309">
      <c r="A309" s="160"/>
      <c r="B309" s="3"/>
    </row>
    <row r="310">
      <c r="A310" s="160"/>
      <c r="B310" s="3"/>
    </row>
    <row r="311">
      <c r="A311" s="160"/>
      <c r="B311" s="3"/>
    </row>
    <row r="312">
      <c r="A312" s="160"/>
      <c r="B312" s="3"/>
    </row>
    <row r="313">
      <c r="A313" s="160"/>
      <c r="B313" s="3"/>
    </row>
    <row r="314">
      <c r="A314" s="160"/>
      <c r="B314" s="3"/>
    </row>
    <row r="315">
      <c r="A315" s="160"/>
      <c r="B315" s="3"/>
    </row>
    <row r="316">
      <c r="A316" s="160"/>
      <c r="B316" s="3"/>
    </row>
    <row r="317">
      <c r="A317" s="160"/>
      <c r="B317" s="3"/>
    </row>
    <row r="318">
      <c r="A318" s="160"/>
      <c r="B318" s="3"/>
    </row>
    <row r="319">
      <c r="A319" s="160"/>
      <c r="B319" s="3"/>
    </row>
    <row r="320">
      <c r="A320" s="160"/>
      <c r="B320" s="3"/>
    </row>
    <row r="321">
      <c r="A321" s="160"/>
      <c r="B321" s="3"/>
    </row>
    <row r="322">
      <c r="A322" s="160"/>
      <c r="B322" s="3"/>
    </row>
    <row r="323">
      <c r="A323" s="160"/>
      <c r="B323" s="3"/>
    </row>
    <row r="324">
      <c r="A324" s="160"/>
      <c r="B324" s="3"/>
    </row>
    <row r="325">
      <c r="A325" s="160"/>
      <c r="B325" s="3"/>
    </row>
    <row r="326">
      <c r="A326" s="160"/>
      <c r="B326" s="3"/>
    </row>
    <row r="327">
      <c r="A327" s="160"/>
      <c r="B327" s="3"/>
    </row>
    <row r="328">
      <c r="A328" s="160"/>
      <c r="B328" s="3"/>
    </row>
    <row r="329">
      <c r="A329" s="160"/>
      <c r="B329" s="3"/>
    </row>
    <row r="330">
      <c r="A330" s="160"/>
      <c r="B330" s="3"/>
    </row>
    <row r="331">
      <c r="A331" s="160"/>
      <c r="B331" s="3"/>
    </row>
    <row r="332">
      <c r="A332" s="160"/>
      <c r="B332" s="3"/>
    </row>
    <row r="333">
      <c r="A333" s="160"/>
      <c r="B333" s="3"/>
    </row>
    <row r="334">
      <c r="A334" s="160"/>
      <c r="B334" s="3"/>
    </row>
    <row r="335">
      <c r="A335" s="160"/>
      <c r="B335" s="3"/>
    </row>
    <row r="336">
      <c r="A336" s="160"/>
      <c r="B336" s="3"/>
    </row>
    <row r="337">
      <c r="A337" s="160"/>
      <c r="B337" s="3"/>
    </row>
    <row r="338">
      <c r="A338" s="160"/>
      <c r="B338" s="3"/>
    </row>
    <row r="339">
      <c r="A339" s="160"/>
      <c r="B339" s="3"/>
    </row>
    <row r="340">
      <c r="A340" s="160"/>
      <c r="B340" s="3"/>
    </row>
    <row r="341">
      <c r="A341" s="160"/>
      <c r="B341" s="3"/>
    </row>
    <row r="342">
      <c r="A342" s="160"/>
      <c r="B342" s="3"/>
    </row>
    <row r="343">
      <c r="A343" s="160"/>
      <c r="B343" s="3"/>
    </row>
    <row r="344">
      <c r="A344" s="160"/>
      <c r="B344" s="3"/>
    </row>
    <row r="345">
      <c r="A345" s="160"/>
      <c r="B345" s="3"/>
    </row>
    <row r="346">
      <c r="A346" s="160"/>
      <c r="B346" s="3"/>
    </row>
    <row r="347">
      <c r="A347" s="160"/>
      <c r="B347" s="3"/>
    </row>
    <row r="348">
      <c r="A348" s="160"/>
      <c r="B348" s="3"/>
    </row>
    <row r="349">
      <c r="A349" s="160"/>
      <c r="B349" s="3"/>
    </row>
    <row r="350">
      <c r="A350" s="160"/>
      <c r="B350" s="3"/>
    </row>
    <row r="351">
      <c r="A351" s="160"/>
      <c r="B351" s="3"/>
    </row>
    <row r="352">
      <c r="A352" s="160"/>
      <c r="B352" s="3"/>
    </row>
    <row r="353">
      <c r="A353" s="160"/>
      <c r="B353" s="3"/>
    </row>
    <row r="354">
      <c r="A354" s="160"/>
      <c r="B354" s="3"/>
    </row>
    <row r="355">
      <c r="A355" s="160"/>
      <c r="B355" s="3"/>
    </row>
    <row r="356">
      <c r="A356" s="160"/>
      <c r="B356" s="3"/>
    </row>
    <row r="357">
      <c r="A357" s="160"/>
      <c r="B357" s="3"/>
    </row>
    <row r="358">
      <c r="A358" s="160"/>
      <c r="B358" s="3"/>
    </row>
    <row r="359">
      <c r="A359" s="160"/>
      <c r="B359" s="3"/>
    </row>
    <row r="360">
      <c r="A360" s="160"/>
      <c r="B360" s="3"/>
    </row>
    <row r="361">
      <c r="A361" s="160"/>
      <c r="B361" s="3"/>
    </row>
    <row r="362">
      <c r="A362" s="160"/>
      <c r="B362" s="3"/>
    </row>
    <row r="363">
      <c r="A363" s="160"/>
      <c r="B363" s="3"/>
    </row>
    <row r="364">
      <c r="A364" s="160"/>
      <c r="B364" s="3"/>
    </row>
    <row r="365">
      <c r="A365" s="160"/>
      <c r="B365" s="3"/>
    </row>
    <row r="366">
      <c r="A366" s="160"/>
      <c r="B366" s="3"/>
    </row>
    <row r="367">
      <c r="A367" s="160"/>
      <c r="B367" s="3"/>
    </row>
    <row r="368">
      <c r="A368" s="160"/>
      <c r="B368" s="3"/>
    </row>
    <row r="369">
      <c r="A369" s="160"/>
      <c r="B369" s="3"/>
    </row>
    <row r="370">
      <c r="A370" s="160"/>
      <c r="B370" s="3"/>
    </row>
    <row r="371">
      <c r="A371" s="160"/>
      <c r="B371" s="3"/>
    </row>
    <row r="372">
      <c r="A372" s="160"/>
      <c r="B372" s="3"/>
    </row>
    <row r="373">
      <c r="A373" s="160"/>
      <c r="B373" s="3"/>
    </row>
    <row r="374">
      <c r="A374" s="160"/>
      <c r="B374" s="3"/>
    </row>
    <row r="375">
      <c r="A375" s="160"/>
      <c r="B375" s="3"/>
    </row>
    <row r="376">
      <c r="A376" s="160"/>
      <c r="B376" s="3"/>
    </row>
    <row r="377">
      <c r="A377" s="160"/>
      <c r="B377" s="3"/>
    </row>
    <row r="378">
      <c r="A378" s="160"/>
      <c r="B378" s="3"/>
    </row>
    <row r="379">
      <c r="A379" s="160"/>
      <c r="B379" s="3"/>
    </row>
    <row r="380">
      <c r="A380" s="160"/>
      <c r="B380" s="3"/>
    </row>
    <row r="381">
      <c r="A381" s="160"/>
      <c r="B381" s="3"/>
    </row>
    <row r="382">
      <c r="A382" s="160"/>
      <c r="B382" s="3"/>
    </row>
    <row r="383">
      <c r="A383" s="160"/>
      <c r="B383" s="3"/>
    </row>
    <row r="384">
      <c r="A384" s="160"/>
      <c r="B384" s="3"/>
    </row>
    <row r="385">
      <c r="A385" s="160"/>
      <c r="B385" s="3"/>
    </row>
    <row r="386">
      <c r="A386" s="160"/>
      <c r="B386" s="3"/>
    </row>
    <row r="387">
      <c r="A387" s="160"/>
      <c r="B387" s="3"/>
    </row>
    <row r="388">
      <c r="A388" s="160"/>
      <c r="B388" s="3"/>
    </row>
    <row r="389">
      <c r="A389" s="160"/>
      <c r="B389" s="3"/>
    </row>
    <row r="390">
      <c r="A390" s="160"/>
      <c r="B390" s="3"/>
    </row>
    <row r="391">
      <c r="A391" s="160"/>
      <c r="B391" s="3"/>
    </row>
    <row r="392">
      <c r="A392" s="160"/>
      <c r="B392" s="3"/>
    </row>
    <row r="393">
      <c r="A393" s="160"/>
      <c r="B393" s="3"/>
    </row>
    <row r="394">
      <c r="A394" s="160"/>
      <c r="B394" s="3"/>
    </row>
    <row r="395">
      <c r="A395" s="160"/>
      <c r="B395" s="3"/>
    </row>
    <row r="396">
      <c r="A396" s="160"/>
      <c r="B396" s="3"/>
    </row>
    <row r="397">
      <c r="A397" s="160"/>
      <c r="B397" s="3"/>
    </row>
    <row r="398">
      <c r="A398" s="160"/>
      <c r="B398" s="3"/>
    </row>
    <row r="399">
      <c r="A399" s="160"/>
      <c r="B399" s="3"/>
    </row>
    <row r="400">
      <c r="A400" s="160"/>
      <c r="B400" s="3"/>
    </row>
    <row r="401">
      <c r="A401" s="160"/>
      <c r="B401" s="3"/>
    </row>
    <row r="402">
      <c r="A402" s="160"/>
      <c r="B402" s="3"/>
    </row>
    <row r="403">
      <c r="A403" s="160"/>
      <c r="B403" s="3"/>
    </row>
    <row r="404">
      <c r="A404" s="160"/>
      <c r="B404" s="3"/>
    </row>
    <row r="405">
      <c r="A405" s="160"/>
      <c r="B405" s="3"/>
    </row>
    <row r="406">
      <c r="A406" s="160"/>
      <c r="B406" s="3"/>
    </row>
    <row r="407">
      <c r="A407" s="160"/>
      <c r="B407" s="3"/>
    </row>
    <row r="408">
      <c r="A408" s="160"/>
      <c r="B408" s="3"/>
    </row>
    <row r="409">
      <c r="A409" s="160"/>
      <c r="B409" s="3"/>
    </row>
    <row r="410">
      <c r="A410" s="160"/>
      <c r="B410" s="3"/>
    </row>
    <row r="411">
      <c r="A411" s="160"/>
      <c r="B411" s="3"/>
    </row>
    <row r="412">
      <c r="A412" s="160"/>
      <c r="B412" s="3"/>
    </row>
    <row r="413">
      <c r="A413" s="160"/>
      <c r="B413" s="3"/>
    </row>
    <row r="414">
      <c r="A414" s="160"/>
      <c r="B414" s="3"/>
    </row>
    <row r="415">
      <c r="A415" s="160"/>
      <c r="B415" s="3"/>
    </row>
    <row r="416">
      <c r="A416" s="160"/>
      <c r="B416" s="3"/>
    </row>
    <row r="417">
      <c r="A417" s="160"/>
      <c r="B417" s="3"/>
    </row>
    <row r="418">
      <c r="A418" s="160"/>
      <c r="B418" s="3"/>
    </row>
    <row r="419">
      <c r="A419" s="160"/>
      <c r="B419" s="3"/>
    </row>
    <row r="420">
      <c r="A420" s="160"/>
      <c r="B420" s="3"/>
    </row>
    <row r="421">
      <c r="A421" s="160"/>
      <c r="B421" s="3"/>
    </row>
    <row r="422">
      <c r="A422" s="160"/>
      <c r="B422" s="3"/>
    </row>
    <row r="423">
      <c r="A423" s="160"/>
      <c r="B423" s="3"/>
    </row>
    <row r="424">
      <c r="A424" s="160"/>
      <c r="B424" s="3"/>
    </row>
    <row r="425">
      <c r="A425" s="160"/>
      <c r="B425" s="3"/>
    </row>
    <row r="426">
      <c r="A426" s="160"/>
      <c r="B426" s="3"/>
    </row>
    <row r="427">
      <c r="A427" s="160"/>
      <c r="B427" s="3"/>
    </row>
    <row r="428">
      <c r="A428" s="160"/>
      <c r="B428" s="3"/>
    </row>
    <row r="429">
      <c r="A429" s="160"/>
      <c r="B429" s="3"/>
    </row>
    <row r="430">
      <c r="A430" s="160"/>
      <c r="B430" s="3"/>
    </row>
    <row r="431">
      <c r="A431" s="160"/>
      <c r="B431" s="3"/>
    </row>
    <row r="432">
      <c r="A432" s="160"/>
      <c r="B432" s="3"/>
    </row>
    <row r="433">
      <c r="A433" s="160"/>
      <c r="B433" s="3"/>
    </row>
    <row r="434">
      <c r="A434" s="160"/>
      <c r="B434" s="3"/>
    </row>
    <row r="435">
      <c r="A435" s="160"/>
      <c r="B435" s="3"/>
    </row>
    <row r="436">
      <c r="A436" s="160"/>
      <c r="B436" s="3"/>
    </row>
    <row r="437">
      <c r="A437" s="160"/>
      <c r="B437" s="3"/>
    </row>
    <row r="438">
      <c r="A438" s="160"/>
      <c r="B438" s="3"/>
    </row>
    <row r="439">
      <c r="A439" s="160"/>
      <c r="B439" s="3"/>
    </row>
    <row r="440">
      <c r="A440" s="160"/>
      <c r="B440" s="3"/>
    </row>
    <row r="441">
      <c r="A441" s="160"/>
      <c r="B441" s="3"/>
    </row>
    <row r="442">
      <c r="A442" s="160"/>
      <c r="B442" s="3"/>
    </row>
    <row r="443">
      <c r="A443" s="160"/>
      <c r="B443" s="3"/>
    </row>
    <row r="444">
      <c r="A444" s="160"/>
      <c r="B444" s="3"/>
    </row>
    <row r="445">
      <c r="A445" s="160"/>
      <c r="B445" s="3"/>
    </row>
    <row r="446">
      <c r="A446" s="160"/>
      <c r="B446" s="3"/>
    </row>
    <row r="447">
      <c r="A447" s="160"/>
      <c r="B447" s="3"/>
    </row>
    <row r="448">
      <c r="A448" s="160"/>
      <c r="B448" s="3"/>
    </row>
    <row r="449">
      <c r="A449" s="160"/>
      <c r="B449" s="3"/>
    </row>
    <row r="450">
      <c r="A450" s="160"/>
      <c r="B450" s="3"/>
    </row>
    <row r="451">
      <c r="A451" s="160"/>
      <c r="B451" s="3"/>
    </row>
    <row r="452">
      <c r="A452" s="160"/>
      <c r="B452" s="3"/>
    </row>
    <row r="453">
      <c r="A453" s="160"/>
      <c r="B453" s="3"/>
    </row>
    <row r="454">
      <c r="A454" s="160"/>
      <c r="B454" s="3"/>
    </row>
    <row r="455">
      <c r="A455" s="160"/>
      <c r="B455" s="3"/>
    </row>
    <row r="456">
      <c r="A456" s="160"/>
      <c r="B456" s="3"/>
    </row>
    <row r="457">
      <c r="A457" s="160"/>
      <c r="B457" s="3"/>
    </row>
    <row r="458">
      <c r="A458" s="160"/>
      <c r="B458" s="3"/>
    </row>
    <row r="459">
      <c r="A459" s="160"/>
      <c r="B459" s="3"/>
    </row>
    <row r="460">
      <c r="A460" s="160"/>
      <c r="B460" s="3"/>
    </row>
    <row r="461">
      <c r="A461" s="160"/>
      <c r="B461" s="3"/>
    </row>
    <row r="462">
      <c r="A462" s="160"/>
      <c r="B462" s="3"/>
    </row>
    <row r="463">
      <c r="A463" s="160"/>
      <c r="B463" s="3"/>
    </row>
    <row r="464">
      <c r="A464" s="160"/>
      <c r="B464" s="3"/>
    </row>
    <row r="465">
      <c r="A465" s="160"/>
      <c r="B465" s="3"/>
    </row>
    <row r="466">
      <c r="A466" s="160"/>
      <c r="B466" s="3"/>
    </row>
    <row r="467">
      <c r="A467" s="160"/>
      <c r="B467" s="3"/>
    </row>
    <row r="468">
      <c r="A468" s="160"/>
      <c r="B468" s="3"/>
    </row>
    <row r="469">
      <c r="A469" s="160"/>
      <c r="B469" s="3"/>
    </row>
    <row r="470">
      <c r="A470" s="160"/>
      <c r="B470" s="3"/>
    </row>
    <row r="471">
      <c r="A471" s="160"/>
      <c r="B471" s="3"/>
    </row>
    <row r="472">
      <c r="A472" s="160"/>
      <c r="B472" s="3"/>
    </row>
    <row r="473">
      <c r="A473" s="160"/>
      <c r="B473" s="3"/>
    </row>
    <row r="474">
      <c r="A474" s="160"/>
      <c r="B474" s="3"/>
    </row>
    <row r="475">
      <c r="A475" s="160"/>
      <c r="B475" s="3"/>
    </row>
    <row r="476">
      <c r="A476" s="160"/>
      <c r="B476" s="3"/>
    </row>
    <row r="477">
      <c r="A477" s="160"/>
      <c r="B477" s="3"/>
    </row>
    <row r="478">
      <c r="A478" s="160"/>
      <c r="B478" s="3"/>
    </row>
    <row r="479">
      <c r="A479" s="160"/>
      <c r="B479" s="3"/>
    </row>
    <row r="480">
      <c r="A480" s="160"/>
      <c r="B480" s="3"/>
    </row>
    <row r="481">
      <c r="A481" s="160"/>
      <c r="B481" s="3"/>
    </row>
    <row r="482">
      <c r="A482" s="160"/>
      <c r="B482" s="3"/>
    </row>
    <row r="483">
      <c r="A483" s="160"/>
      <c r="B483" s="3"/>
    </row>
    <row r="484">
      <c r="A484" s="160"/>
      <c r="B484" s="3"/>
    </row>
    <row r="485">
      <c r="A485" s="160"/>
      <c r="B485" s="3"/>
    </row>
    <row r="486">
      <c r="A486" s="160"/>
      <c r="B486" s="3"/>
    </row>
    <row r="487">
      <c r="A487" s="160"/>
      <c r="B487" s="3"/>
    </row>
    <row r="488">
      <c r="A488" s="160"/>
      <c r="B488" s="3"/>
    </row>
    <row r="489">
      <c r="A489" s="160"/>
      <c r="B489" s="3"/>
    </row>
    <row r="490">
      <c r="A490" s="160"/>
      <c r="B490" s="3"/>
    </row>
    <row r="491">
      <c r="A491" s="160"/>
      <c r="B491" s="3"/>
    </row>
    <row r="492">
      <c r="A492" s="160"/>
      <c r="B492" s="3"/>
    </row>
    <row r="493">
      <c r="A493" s="160"/>
      <c r="B493" s="3"/>
    </row>
    <row r="494">
      <c r="A494" s="160"/>
      <c r="B494" s="3"/>
    </row>
    <row r="495">
      <c r="A495" s="160"/>
      <c r="B495" s="3"/>
    </row>
    <row r="496">
      <c r="A496" s="160"/>
      <c r="B496" s="3"/>
    </row>
    <row r="497">
      <c r="A497" s="160"/>
      <c r="B497" s="3"/>
    </row>
    <row r="498">
      <c r="A498" s="160"/>
      <c r="B498" s="3"/>
    </row>
    <row r="499">
      <c r="A499" s="160"/>
      <c r="B499" s="3"/>
    </row>
    <row r="500">
      <c r="A500" s="160"/>
      <c r="B500" s="3"/>
    </row>
    <row r="501">
      <c r="A501" s="160"/>
      <c r="B501" s="3"/>
    </row>
    <row r="502">
      <c r="A502" s="160"/>
      <c r="B502" s="3"/>
    </row>
    <row r="503">
      <c r="A503" s="160"/>
      <c r="B503" s="3"/>
    </row>
    <row r="504">
      <c r="A504" s="160"/>
      <c r="B504" s="3"/>
    </row>
    <row r="505">
      <c r="A505" s="160"/>
      <c r="B505" s="3"/>
    </row>
    <row r="506">
      <c r="A506" s="160"/>
      <c r="B506" s="3"/>
    </row>
    <row r="507">
      <c r="A507" s="160"/>
      <c r="B507" s="3"/>
    </row>
    <row r="508">
      <c r="A508" s="160"/>
      <c r="B508" s="3"/>
    </row>
    <row r="509">
      <c r="A509" s="160"/>
      <c r="B509" s="3"/>
    </row>
    <row r="510">
      <c r="A510" s="160"/>
      <c r="B510" s="3"/>
    </row>
    <row r="511">
      <c r="A511" s="160"/>
      <c r="B511" s="3"/>
    </row>
    <row r="512">
      <c r="A512" s="160"/>
      <c r="B512" s="3"/>
    </row>
    <row r="513">
      <c r="A513" s="160"/>
      <c r="B513" s="3"/>
    </row>
    <row r="514">
      <c r="A514" s="160"/>
      <c r="B514" s="3"/>
    </row>
    <row r="515">
      <c r="A515" s="160"/>
      <c r="B515" s="3"/>
    </row>
    <row r="516">
      <c r="A516" s="160"/>
      <c r="B516" s="3"/>
    </row>
    <row r="517">
      <c r="A517" s="160"/>
      <c r="B517" s="3"/>
    </row>
    <row r="518">
      <c r="A518" s="160"/>
      <c r="B518" s="3"/>
    </row>
    <row r="519">
      <c r="A519" s="160"/>
      <c r="B519" s="3"/>
    </row>
    <row r="520">
      <c r="A520" s="160"/>
      <c r="B520" s="3"/>
    </row>
    <row r="521">
      <c r="A521" s="160"/>
      <c r="B521" s="3"/>
    </row>
    <row r="522">
      <c r="A522" s="160"/>
      <c r="B522" s="3"/>
    </row>
    <row r="523">
      <c r="A523" s="160"/>
      <c r="B523" s="3"/>
    </row>
    <row r="524">
      <c r="A524" s="160"/>
      <c r="B524" s="3"/>
    </row>
    <row r="525">
      <c r="A525" s="160"/>
      <c r="B525" s="3"/>
    </row>
    <row r="526">
      <c r="A526" s="160"/>
      <c r="B526" s="3"/>
    </row>
    <row r="527">
      <c r="A527" s="160"/>
      <c r="B527" s="3"/>
    </row>
    <row r="528">
      <c r="A528" s="160"/>
      <c r="B528" s="3"/>
    </row>
    <row r="529">
      <c r="A529" s="160"/>
      <c r="B529" s="3"/>
    </row>
    <row r="530">
      <c r="A530" s="160"/>
      <c r="B530" s="3"/>
    </row>
    <row r="531">
      <c r="A531" s="160"/>
      <c r="B531" s="3"/>
    </row>
    <row r="532">
      <c r="A532" s="160"/>
      <c r="B532" s="3"/>
    </row>
    <row r="533">
      <c r="A533" s="160"/>
      <c r="B533" s="3"/>
    </row>
    <row r="534">
      <c r="A534" s="160"/>
      <c r="B534" s="3"/>
    </row>
    <row r="535">
      <c r="A535" s="160"/>
      <c r="B535" s="3"/>
    </row>
    <row r="536">
      <c r="A536" s="160"/>
      <c r="B536" s="3"/>
    </row>
    <row r="537">
      <c r="A537" s="160"/>
      <c r="B537" s="3"/>
    </row>
    <row r="538">
      <c r="A538" s="160"/>
      <c r="B538" s="3"/>
    </row>
    <row r="539">
      <c r="A539" s="160"/>
      <c r="B539" s="3"/>
    </row>
    <row r="540">
      <c r="A540" s="160"/>
      <c r="B540" s="3"/>
    </row>
    <row r="541">
      <c r="A541" s="160"/>
      <c r="B541" s="3"/>
    </row>
    <row r="542">
      <c r="A542" s="160"/>
      <c r="B542" s="3"/>
    </row>
    <row r="543">
      <c r="A543" s="160"/>
      <c r="B543" s="3"/>
    </row>
    <row r="544">
      <c r="A544" s="160"/>
      <c r="B544" s="3"/>
    </row>
    <row r="545">
      <c r="A545" s="160"/>
      <c r="B545" s="3"/>
    </row>
    <row r="546">
      <c r="A546" s="160"/>
      <c r="B546" s="3"/>
    </row>
    <row r="547">
      <c r="A547" s="160"/>
      <c r="B547" s="3"/>
    </row>
    <row r="548">
      <c r="A548" s="160"/>
      <c r="B548" s="3"/>
    </row>
    <row r="549">
      <c r="A549" s="160"/>
      <c r="B549" s="3"/>
    </row>
    <row r="550">
      <c r="A550" s="160"/>
      <c r="B550" s="3"/>
    </row>
    <row r="551">
      <c r="A551" s="160"/>
      <c r="B551" s="3"/>
    </row>
    <row r="552">
      <c r="A552" s="160"/>
      <c r="B552" s="3"/>
    </row>
    <row r="553">
      <c r="A553" s="160"/>
      <c r="B553" s="3"/>
    </row>
    <row r="554">
      <c r="A554" s="160"/>
      <c r="B554" s="3"/>
    </row>
    <row r="555">
      <c r="A555" s="160"/>
      <c r="B555" s="3"/>
    </row>
    <row r="556">
      <c r="A556" s="160"/>
      <c r="B556" s="3"/>
    </row>
    <row r="557">
      <c r="A557" s="160"/>
      <c r="B557" s="3"/>
    </row>
    <row r="558">
      <c r="A558" s="160"/>
      <c r="B558" s="3"/>
    </row>
    <row r="559">
      <c r="A559" s="160"/>
      <c r="B559" s="3"/>
    </row>
    <row r="560">
      <c r="A560" s="160"/>
      <c r="B560" s="3"/>
    </row>
    <row r="561">
      <c r="A561" s="160"/>
      <c r="B561" s="3"/>
    </row>
    <row r="562">
      <c r="A562" s="160"/>
      <c r="B562" s="3"/>
    </row>
    <row r="563">
      <c r="A563" s="160"/>
      <c r="B563" s="3"/>
    </row>
    <row r="564">
      <c r="A564" s="160"/>
      <c r="B564" s="3"/>
    </row>
    <row r="565">
      <c r="A565" s="160"/>
      <c r="B565" s="3"/>
    </row>
    <row r="566">
      <c r="A566" s="160"/>
      <c r="B566" s="3"/>
    </row>
    <row r="567">
      <c r="A567" s="160"/>
      <c r="B567" s="3"/>
    </row>
    <row r="568">
      <c r="A568" s="160"/>
      <c r="B568" s="3"/>
    </row>
    <row r="569">
      <c r="A569" s="160"/>
      <c r="B569" s="3"/>
    </row>
    <row r="570">
      <c r="A570" s="160"/>
      <c r="B570" s="3"/>
    </row>
    <row r="571">
      <c r="A571" s="160"/>
      <c r="B571" s="3"/>
    </row>
    <row r="572">
      <c r="A572" s="160"/>
      <c r="B572" s="3"/>
    </row>
    <row r="573">
      <c r="A573" s="160"/>
      <c r="B573" s="3"/>
    </row>
    <row r="574">
      <c r="A574" s="160"/>
      <c r="B574" s="3"/>
    </row>
    <row r="575">
      <c r="A575" s="160"/>
      <c r="B575" s="3"/>
    </row>
    <row r="576">
      <c r="A576" s="160"/>
      <c r="B576" s="3"/>
    </row>
    <row r="577">
      <c r="A577" s="160"/>
      <c r="B577" s="3"/>
    </row>
    <row r="578">
      <c r="A578" s="160"/>
      <c r="B578" s="3"/>
    </row>
    <row r="579">
      <c r="A579" s="160"/>
      <c r="B579" s="3"/>
    </row>
    <row r="580">
      <c r="A580" s="160"/>
      <c r="B580" s="3"/>
    </row>
    <row r="581">
      <c r="A581" s="160"/>
      <c r="B581" s="3"/>
    </row>
    <row r="582">
      <c r="A582" s="160"/>
      <c r="B582" s="3"/>
    </row>
    <row r="583">
      <c r="A583" s="160"/>
      <c r="B583" s="3"/>
    </row>
    <row r="584">
      <c r="A584" s="160"/>
      <c r="B584" s="3"/>
    </row>
    <row r="585">
      <c r="A585" s="160"/>
      <c r="B585" s="3"/>
    </row>
    <row r="586">
      <c r="A586" s="160"/>
      <c r="B586" s="3"/>
    </row>
    <row r="587">
      <c r="A587" s="160"/>
      <c r="B587" s="3"/>
    </row>
    <row r="588">
      <c r="A588" s="160"/>
      <c r="B588" s="3"/>
    </row>
    <row r="589">
      <c r="A589" s="160"/>
      <c r="B589" s="3"/>
    </row>
    <row r="590">
      <c r="A590" s="160"/>
      <c r="B590" s="3"/>
    </row>
    <row r="591">
      <c r="A591" s="160"/>
      <c r="B591" s="3"/>
    </row>
    <row r="592">
      <c r="A592" s="160"/>
      <c r="B592" s="3"/>
    </row>
    <row r="593">
      <c r="A593" s="160"/>
      <c r="B593" s="3"/>
    </row>
    <row r="594">
      <c r="A594" s="160"/>
      <c r="B594" s="3"/>
    </row>
    <row r="595">
      <c r="A595" s="160"/>
      <c r="B595" s="3"/>
    </row>
    <row r="596">
      <c r="A596" s="160"/>
      <c r="B596" s="3"/>
    </row>
    <row r="597">
      <c r="A597" s="160"/>
      <c r="B597" s="3"/>
    </row>
    <row r="598">
      <c r="A598" s="160"/>
      <c r="B598" s="3"/>
    </row>
    <row r="599">
      <c r="A599" s="160"/>
      <c r="B599" s="3"/>
    </row>
    <row r="600">
      <c r="A600" s="160"/>
      <c r="B600" s="3"/>
    </row>
    <row r="601">
      <c r="A601" s="160"/>
      <c r="B601" s="3"/>
    </row>
    <row r="602">
      <c r="A602" s="160"/>
      <c r="B602" s="3"/>
    </row>
    <row r="603">
      <c r="A603" s="160"/>
      <c r="B603" s="3"/>
    </row>
    <row r="604">
      <c r="A604" s="160"/>
      <c r="B604" s="3"/>
    </row>
    <row r="605">
      <c r="A605" s="160"/>
      <c r="B605" s="3"/>
    </row>
    <row r="606">
      <c r="A606" s="160"/>
      <c r="B606" s="3"/>
    </row>
    <row r="607">
      <c r="A607" s="160"/>
      <c r="B607" s="3"/>
    </row>
    <row r="608">
      <c r="A608" s="160"/>
      <c r="B608" s="3"/>
    </row>
    <row r="609">
      <c r="A609" s="160"/>
      <c r="B609" s="3"/>
    </row>
    <row r="610">
      <c r="A610" s="160"/>
      <c r="B610" s="3"/>
    </row>
    <row r="611">
      <c r="A611" s="160"/>
      <c r="B611" s="3"/>
    </row>
    <row r="612">
      <c r="A612" s="160"/>
      <c r="B612" s="3"/>
    </row>
    <row r="613">
      <c r="A613" s="160"/>
      <c r="B613" s="3"/>
    </row>
    <row r="614">
      <c r="A614" s="160"/>
      <c r="B614" s="3"/>
    </row>
    <row r="615">
      <c r="A615" s="160"/>
      <c r="B615" s="3"/>
    </row>
    <row r="616">
      <c r="A616" s="160"/>
      <c r="B616" s="3"/>
    </row>
    <row r="617">
      <c r="A617" s="160"/>
      <c r="B617" s="3"/>
    </row>
    <row r="618">
      <c r="A618" s="160"/>
      <c r="B618" s="3"/>
    </row>
    <row r="619">
      <c r="A619" s="160"/>
      <c r="B619" s="3"/>
    </row>
    <row r="620">
      <c r="A620" s="160"/>
      <c r="B620" s="3"/>
    </row>
    <row r="621">
      <c r="A621" s="160"/>
      <c r="B621" s="3"/>
    </row>
    <row r="622">
      <c r="A622" s="160"/>
      <c r="B622" s="3"/>
    </row>
    <row r="623">
      <c r="A623" s="160"/>
      <c r="B623" s="3"/>
    </row>
    <row r="624">
      <c r="A624" s="160"/>
      <c r="B624" s="3"/>
    </row>
    <row r="625">
      <c r="A625" s="160"/>
      <c r="B625" s="3"/>
    </row>
    <row r="626">
      <c r="A626" s="160"/>
      <c r="B626" s="3"/>
    </row>
    <row r="627">
      <c r="A627" s="160"/>
      <c r="B627" s="3"/>
    </row>
    <row r="628">
      <c r="A628" s="160"/>
      <c r="B628" s="3"/>
    </row>
    <row r="629">
      <c r="A629" s="160"/>
      <c r="B629" s="3"/>
    </row>
    <row r="630">
      <c r="A630" s="160"/>
      <c r="B630" s="3"/>
    </row>
    <row r="631">
      <c r="A631" s="160"/>
      <c r="B631" s="3"/>
    </row>
    <row r="632">
      <c r="A632" s="160"/>
      <c r="B632" s="3"/>
    </row>
    <row r="633">
      <c r="A633" s="160"/>
      <c r="B633" s="3"/>
    </row>
    <row r="634">
      <c r="A634" s="160"/>
      <c r="B634" s="3"/>
    </row>
    <row r="635">
      <c r="A635" s="160"/>
      <c r="B635" s="3"/>
    </row>
    <row r="636">
      <c r="A636" s="160"/>
      <c r="B636" s="3"/>
    </row>
    <row r="637">
      <c r="A637" s="160"/>
      <c r="B637" s="3"/>
    </row>
    <row r="638">
      <c r="A638" s="160"/>
      <c r="B638" s="3"/>
    </row>
    <row r="639">
      <c r="A639" s="160"/>
      <c r="B639" s="3"/>
    </row>
    <row r="640">
      <c r="A640" s="160"/>
      <c r="B640" s="3"/>
    </row>
    <row r="641">
      <c r="A641" s="160"/>
      <c r="B641" s="3"/>
    </row>
    <row r="642">
      <c r="A642" s="160"/>
      <c r="B642" s="3"/>
    </row>
    <row r="643">
      <c r="A643" s="160"/>
      <c r="B643" s="3"/>
    </row>
    <row r="644">
      <c r="A644" s="160"/>
      <c r="B644" s="3"/>
    </row>
    <row r="645">
      <c r="A645" s="160"/>
      <c r="B645" s="3"/>
    </row>
    <row r="646">
      <c r="A646" s="160"/>
      <c r="B646" s="3"/>
    </row>
    <row r="647">
      <c r="A647" s="160"/>
      <c r="B647" s="3"/>
    </row>
    <row r="648">
      <c r="A648" s="160"/>
      <c r="B648" s="3"/>
    </row>
    <row r="649">
      <c r="A649" s="160"/>
      <c r="B649" s="3"/>
    </row>
    <row r="650">
      <c r="A650" s="160"/>
      <c r="B650" s="3"/>
    </row>
    <row r="651">
      <c r="A651" s="160"/>
      <c r="B651" s="3"/>
    </row>
    <row r="652">
      <c r="A652" s="160"/>
      <c r="B652" s="3"/>
    </row>
    <row r="653">
      <c r="A653" s="160"/>
      <c r="B653" s="3"/>
    </row>
    <row r="654">
      <c r="A654" s="160"/>
      <c r="B654" s="3"/>
    </row>
    <row r="655">
      <c r="A655" s="160"/>
      <c r="B655" s="3"/>
    </row>
    <row r="656">
      <c r="A656" s="160"/>
      <c r="B656" s="3"/>
    </row>
    <row r="657">
      <c r="A657" s="160"/>
      <c r="B657" s="3"/>
    </row>
    <row r="658">
      <c r="A658" s="160"/>
      <c r="B658" s="3"/>
    </row>
    <row r="659">
      <c r="A659" s="160"/>
      <c r="B659" s="3"/>
    </row>
    <row r="660">
      <c r="A660" s="160"/>
      <c r="B660" s="3"/>
    </row>
    <row r="661">
      <c r="A661" s="160"/>
      <c r="B661" s="3"/>
    </row>
    <row r="662">
      <c r="A662" s="160"/>
      <c r="B662" s="3"/>
    </row>
    <row r="663">
      <c r="A663" s="160"/>
      <c r="B663" s="3"/>
    </row>
    <row r="664">
      <c r="A664" s="160"/>
      <c r="B664" s="3"/>
    </row>
    <row r="665">
      <c r="A665" s="160"/>
      <c r="B665" s="3"/>
    </row>
    <row r="666">
      <c r="A666" s="160"/>
      <c r="B666" s="3"/>
    </row>
    <row r="667">
      <c r="A667" s="160"/>
      <c r="B667" s="3"/>
    </row>
    <row r="668">
      <c r="A668" s="160"/>
      <c r="B668" s="3"/>
    </row>
    <row r="669">
      <c r="A669" s="160"/>
      <c r="B669" s="3"/>
    </row>
    <row r="670">
      <c r="A670" s="160"/>
      <c r="B670" s="3"/>
    </row>
    <row r="671">
      <c r="A671" s="160"/>
      <c r="B671" s="3"/>
    </row>
    <row r="672">
      <c r="A672" s="160"/>
      <c r="B672" s="3"/>
    </row>
    <row r="673">
      <c r="A673" s="160"/>
      <c r="B673" s="3"/>
    </row>
    <row r="674">
      <c r="A674" s="160"/>
      <c r="B674" s="3"/>
    </row>
    <row r="675">
      <c r="A675" s="160"/>
      <c r="B675" s="3"/>
    </row>
    <row r="676">
      <c r="A676" s="160"/>
      <c r="B676" s="3"/>
    </row>
    <row r="677">
      <c r="A677" s="160"/>
      <c r="B677" s="3"/>
    </row>
    <row r="678">
      <c r="A678" s="160"/>
      <c r="B678" s="3"/>
    </row>
    <row r="679">
      <c r="A679" s="160"/>
      <c r="B679" s="3"/>
    </row>
    <row r="680">
      <c r="A680" s="160"/>
      <c r="B680" s="3"/>
    </row>
    <row r="681">
      <c r="A681" s="160"/>
      <c r="B681" s="3"/>
    </row>
    <row r="682">
      <c r="A682" s="160"/>
      <c r="B682" s="3"/>
    </row>
    <row r="683">
      <c r="A683" s="160"/>
      <c r="B683" s="3"/>
    </row>
    <row r="684">
      <c r="A684" s="160"/>
      <c r="B684" s="3"/>
    </row>
    <row r="685">
      <c r="A685" s="160"/>
      <c r="B685" s="3"/>
    </row>
    <row r="686">
      <c r="A686" s="160"/>
      <c r="B686" s="3"/>
    </row>
    <row r="687">
      <c r="A687" s="160"/>
      <c r="B687" s="3"/>
    </row>
    <row r="688">
      <c r="A688" s="160"/>
      <c r="B688" s="3"/>
    </row>
    <row r="689">
      <c r="A689" s="160"/>
      <c r="B689" s="3"/>
    </row>
    <row r="690">
      <c r="A690" s="160"/>
      <c r="B690" s="3"/>
    </row>
    <row r="691">
      <c r="A691" s="160"/>
      <c r="B691" s="3"/>
    </row>
    <row r="692">
      <c r="A692" s="160"/>
      <c r="B692" s="3"/>
    </row>
    <row r="693">
      <c r="A693" s="160"/>
      <c r="B693" s="3"/>
    </row>
    <row r="694">
      <c r="A694" s="160"/>
      <c r="B694" s="3"/>
    </row>
    <row r="695">
      <c r="A695" s="160"/>
      <c r="B695" s="3"/>
    </row>
    <row r="696">
      <c r="A696" s="160"/>
      <c r="B696" s="3"/>
    </row>
    <row r="697">
      <c r="A697" s="160"/>
      <c r="B697" s="3"/>
    </row>
    <row r="698">
      <c r="A698" s="160"/>
      <c r="B698" s="3"/>
    </row>
    <row r="699">
      <c r="A699" s="160"/>
      <c r="B699" s="3"/>
    </row>
    <row r="700">
      <c r="A700" s="160"/>
      <c r="B700" s="3"/>
    </row>
    <row r="701">
      <c r="A701" s="160"/>
      <c r="B701" s="3"/>
    </row>
    <row r="702">
      <c r="A702" s="160"/>
      <c r="B702" s="3"/>
    </row>
    <row r="703">
      <c r="A703" s="160"/>
      <c r="B703" s="3"/>
    </row>
    <row r="704">
      <c r="A704" s="160"/>
      <c r="B704" s="3"/>
    </row>
    <row r="705">
      <c r="A705" s="160"/>
      <c r="B705" s="3"/>
    </row>
    <row r="706">
      <c r="A706" s="160"/>
      <c r="B706" s="3"/>
    </row>
    <row r="707">
      <c r="A707" s="160"/>
      <c r="B707" s="3"/>
    </row>
    <row r="708">
      <c r="A708" s="160"/>
      <c r="B708" s="3"/>
    </row>
    <row r="709">
      <c r="A709" s="160"/>
      <c r="B709" s="3"/>
    </row>
    <row r="710">
      <c r="A710" s="160"/>
      <c r="B710" s="3"/>
    </row>
    <row r="711">
      <c r="A711" s="160"/>
      <c r="B711" s="3"/>
    </row>
    <row r="712">
      <c r="A712" s="160"/>
      <c r="B712" s="3"/>
    </row>
    <row r="713">
      <c r="A713" s="160"/>
      <c r="B713" s="3"/>
    </row>
    <row r="714">
      <c r="A714" s="160"/>
      <c r="B714" s="3"/>
    </row>
    <row r="715">
      <c r="A715" s="160"/>
      <c r="B715" s="3"/>
    </row>
    <row r="716">
      <c r="A716" s="160"/>
      <c r="B716" s="3"/>
    </row>
    <row r="717">
      <c r="A717" s="160"/>
      <c r="B717" s="3"/>
    </row>
    <row r="718">
      <c r="A718" s="160"/>
      <c r="B718" s="3"/>
    </row>
    <row r="719">
      <c r="A719" s="160"/>
      <c r="B719" s="3"/>
    </row>
    <row r="720">
      <c r="A720" s="160"/>
      <c r="B720" s="3"/>
    </row>
    <row r="721">
      <c r="A721" s="160"/>
      <c r="B721" s="3"/>
    </row>
    <row r="722">
      <c r="A722" s="160"/>
      <c r="B722" s="3"/>
    </row>
    <row r="723">
      <c r="A723" s="160"/>
      <c r="B723" s="3"/>
    </row>
    <row r="724">
      <c r="A724" s="160"/>
      <c r="B724" s="3"/>
    </row>
    <row r="725">
      <c r="A725" s="160"/>
      <c r="B725" s="3"/>
    </row>
    <row r="726">
      <c r="A726" s="160"/>
      <c r="B726" s="3"/>
    </row>
    <row r="727">
      <c r="A727" s="160"/>
      <c r="B727" s="3"/>
    </row>
    <row r="728">
      <c r="A728" s="160"/>
      <c r="B728" s="3"/>
    </row>
    <row r="729">
      <c r="A729" s="160"/>
      <c r="B729" s="3"/>
    </row>
    <row r="730">
      <c r="A730" s="160"/>
      <c r="B730" s="3"/>
    </row>
    <row r="731">
      <c r="A731" s="160"/>
      <c r="B731" s="3"/>
    </row>
    <row r="732">
      <c r="A732" s="160"/>
      <c r="B732" s="3"/>
    </row>
    <row r="733">
      <c r="A733" s="160"/>
      <c r="B733" s="3"/>
    </row>
    <row r="734">
      <c r="A734" s="160"/>
      <c r="B734" s="3"/>
    </row>
    <row r="735">
      <c r="A735" s="160"/>
      <c r="B735" s="3"/>
    </row>
    <row r="736">
      <c r="A736" s="160"/>
      <c r="B736" s="3"/>
    </row>
    <row r="737">
      <c r="A737" s="160"/>
      <c r="B737" s="3"/>
    </row>
    <row r="738">
      <c r="A738" s="160"/>
      <c r="B738" s="3"/>
    </row>
    <row r="739">
      <c r="A739" s="160"/>
      <c r="B739" s="3"/>
    </row>
    <row r="740">
      <c r="A740" s="160"/>
      <c r="B740" s="3"/>
    </row>
    <row r="741">
      <c r="A741" s="160"/>
      <c r="B741" s="3"/>
    </row>
    <row r="742">
      <c r="A742" s="160"/>
      <c r="B742" s="3"/>
    </row>
    <row r="743">
      <c r="A743" s="160"/>
      <c r="B743" s="3"/>
    </row>
    <row r="744">
      <c r="A744" s="160"/>
      <c r="B744" s="3"/>
    </row>
    <row r="745">
      <c r="A745" s="160"/>
      <c r="B745" s="3"/>
    </row>
    <row r="746">
      <c r="A746" s="160"/>
      <c r="B746" s="3"/>
    </row>
    <row r="747">
      <c r="A747" s="160"/>
      <c r="B747" s="3"/>
    </row>
    <row r="748">
      <c r="A748" s="160"/>
      <c r="B748" s="3"/>
    </row>
    <row r="749">
      <c r="A749" s="160"/>
      <c r="B749" s="3"/>
    </row>
    <row r="750">
      <c r="A750" s="160"/>
      <c r="B750" s="3"/>
    </row>
    <row r="751">
      <c r="A751" s="160"/>
      <c r="B751" s="3"/>
    </row>
    <row r="752">
      <c r="A752" s="160"/>
      <c r="B752" s="3"/>
    </row>
    <row r="753">
      <c r="A753" s="160"/>
      <c r="B753" s="3"/>
    </row>
    <row r="754">
      <c r="A754" s="160"/>
      <c r="B754" s="3"/>
    </row>
    <row r="755">
      <c r="A755" s="160"/>
      <c r="B755" s="3"/>
    </row>
    <row r="756">
      <c r="A756" s="160"/>
      <c r="B756" s="3"/>
    </row>
    <row r="757">
      <c r="A757" s="160"/>
      <c r="B757" s="3"/>
    </row>
    <row r="758">
      <c r="A758" s="160"/>
      <c r="B758" s="3"/>
    </row>
    <row r="759">
      <c r="A759" s="160"/>
      <c r="B759" s="3"/>
    </row>
    <row r="760">
      <c r="A760" s="160"/>
      <c r="B760" s="3"/>
    </row>
    <row r="761">
      <c r="A761" s="160"/>
      <c r="B761" s="3"/>
    </row>
    <row r="762">
      <c r="A762" s="160"/>
      <c r="B762" s="3"/>
    </row>
    <row r="763">
      <c r="A763" s="160"/>
      <c r="B763" s="3"/>
    </row>
    <row r="764">
      <c r="A764" s="160"/>
      <c r="B764" s="3"/>
    </row>
    <row r="765">
      <c r="A765" s="160"/>
      <c r="B765" s="3"/>
    </row>
    <row r="766">
      <c r="A766" s="160"/>
      <c r="B766" s="3"/>
    </row>
    <row r="767">
      <c r="A767" s="160"/>
      <c r="B767" s="3"/>
    </row>
    <row r="768">
      <c r="A768" s="160"/>
      <c r="B768" s="3"/>
    </row>
    <row r="769">
      <c r="A769" s="160"/>
      <c r="B769" s="3"/>
    </row>
    <row r="770">
      <c r="A770" s="160"/>
      <c r="B770" s="3"/>
    </row>
    <row r="771">
      <c r="A771" s="160"/>
      <c r="B771" s="3"/>
    </row>
    <row r="772">
      <c r="A772" s="160"/>
      <c r="B772" s="3"/>
    </row>
    <row r="773">
      <c r="A773" s="160"/>
      <c r="B773" s="3"/>
    </row>
    <row r="774">
      <c r="A774" s="160"/>
      <c r="B774" s="3"/>
    </row>
    <row r="775">
      <c r="A775" s="160"/>
      <c r="B775" s="3"/>
    </row>
    <row r="776">
      <c r="A776" s="160"/>
      <c r="B776" s="3"/>
    </row>
    <row r="777">
      <c r="A777" s="160"/>
      <c r="B777" s="3"/>
    </row>
    <row r="778">
      <c r="A778" s="160"/>
      <c r="B778" s="3"/>
    </row>
    <row r="779">
      <c r="A779" s="160"/>
      <c r="B779" s="3"/>
    </row>
    <row r="780">
      <c r="A780" s="160"/>
      <c r="B780" s="3"/>
    </row>
    <row r="781">
      <c r="A781" s="160"/>
      <c r="B781" s="3"/>
    </row>
    <row r="782">
      <c r="A782" s="160"/>
      <c r="B782" s="3"/>
    </row>
    <row r="783">
      <c r="A783" s="160"/>
      <c r="B783" s="3"/>
    </row>
    <row r="784">
      <c r="A784" s="160"/>
      <c r="B784" s="3"/>
    </row>
    <row r="785">
      <c r="A785" s="160"/>
      <c r="B785" s="3"/>
    </row>
    <row r="786">
      <c r="A786" s="160"/>
      <c r="B786" s="3"/>
    </row>
    <row r="787">
      <c r="A787" s="160"/>
      <c r="B787" s="3"/>
    </row>
    <row r="788">
      <c r="A788" s="160"/>
      <c r="B788" s="3"/>
    </row>
    <row r="789">
      <c r="A789" s="160"/>
      <c r="B789" s="3"/>
    </row>
    <row r="790">
      <c r="A790" s="160"/>
      <c r="B790" s="3"/>
    </row>
    <row r="791">
      <c r="A791" s="160"/>
      <c r="B791" s="3"/>
    </row>
    <row r="792">
      <c r="A792" s="160"/>
      <c r="B792" s="3"/>
    </row>
    <row r="793">
      <c r="A793" s="160"/>
      <c r="B793" s="3"/>
    </row>
    <row r="794">
      <c r="A794" s="160"/>
      <c r="B794" s="3"/>
    </row>
    <row r="795">
      <c r="A795" s="160"/>
      <c r="B795" s="3"/>
    </row>
    <row r="796">
      <c r="A796" s="160"/>
      <c r="B796" s="3"/>
    </row>
    <row r="797">
      <c r="A797" s="160"/>
      <c r="B797" s="3"/>
    </row>
    <row r="798">
      <c r="A798" s="160"/>
      <c r="B798" s="3"/>
    </row>
    <row r="799">
      <c r="A799" s="160"/>
      <c r="B799" s="3"/>
    </row>
    <row r="800">
      <c r="A800" s="160"/>
      <c r="B800" s="3"/>
    </row>
    <row r="801">
      <c r="A801" s="160"/>
      <c r="B801" s="3"/>
    </row>
    <row r="802">
      <c r="A802" s="160"/>
      <c r="B802" s="3"/>
    </row>
    <row r="803">
      <c r="A803" s="160"/>
      <c r="B803" s="3"/>
    </row>
    <row r="804">
      <c r="A804" s="160"/>
      <c r="B804" s="3"/>
    </row>
    <row r="805">
      <c r="A805" s="160"/>
      <c r="B805" s="3"/>
    </row>
    <row r="806">
      <c r="A806" s="160"/>
      <c r="B806" s="3"/>
    </row>
    <row r="807">
      <c r="A807" s="160"/>
      <c r="B807" s="3"/>
    </row>
    <row r="808">
      <c r="A808" s="160"/>
      <c r="B808" s="3"/>
    </row>
    <row r="809">
      <c r="A809" s="160"/>
      <c r="B809" s="3"/>
    </row>
    <row r="810">
      <c r="A810" s="160"/>
      <c r="B810" s="3"/>
    </row>
    <row r="811">
      <c r="A811" s="160"/>
      <c r="B811" s="3"/>
    </row>
    <row r="812">
      <c r="A812" s="160"/>
      <c r="B812" s="3"/>
    </row>
    <row r="813">
      <c r="A813" s="160"/>
      <c r="B813" s="3"/>
    </row>
    <row r="814">
      <c r="A814" s="160"/>
      <c r="B814" s="3"/>
    </row>
    <row r="815">
      <c r="A815" s="160"/>
      <c r="B815" s="3"/>
    </row>
    <row r="816">
      <c r="A816" s="160"/>
      <c r="B816" s="3"/>
    </row>
    <row r="817">
      <c r="A817" s="160"/>
      <c r="B817" s="3"/>
    </row>
    <row r="818">
      <c r="A818" s="160"/>
      <c r="B818" s="3"/>
    </row>
    <row r="819">
      <c r="A819" s="160"/>
      <c r="B819" s="3"/>
    </row>
    <row r="820">
      <c r="A820" s="160"/>
      <c r="B820" s="3"/>
    </row>
    <row r="821">
      <c r="A821" s="160"/>
      <c r="B821" s="3"/>
    </row>
    <row r="822">
      <c r="A822" s="160"/>
      <c r="B822" s="3"/>
    </row>
    <row r="823">
      <c r="A823" s="160"/>
      <c r="B823" s="3"/>
    </row>
    <row r="824">
      <c r="A824" s="160"/>
      <c r="B824" s="3"/>
    </row>
    <row r="825">
      <c r="A825" s="160"/>
      <c r="B825" s="3"/>
    </row>
    <row r="826">
      <c r="A826" s="160"/>
      <c r="B826" s="3"/>
    </row>
    <row r="827">
      <c r="A827" s="160"/>
      <c r="B827" s="3"/>
    </row>
    <row r="828">
      <c r="A828" s="160"/>
      <c r="B828" s="3"/>
    </row>
    <row r="829">
      <c r="A829" s="160"/>
      <c r="B829" s="3"/>
    </row>
    <row r="830">
      <c r="A830" s="160"/>
      <c r="B830" s="3"/>
    </row>
    <row r="831">
      <c r="A831" s="160"/>
      <c r="B831" s="3"/>
    </row>
    <row r="832">
      <c r="A832" s="160"/>
      <c r="B832" s="3"/>
    </row>
    <row r="833">
      <c r="A833" s="160"/>
      <c r="B833" s="3"/>
    </row>
    <row r="834">
      <c r="A834" s="160"/>
      <c r="B834" s="3"/>
    </row>
    <row r="835">
      <c r="A835" s="160"/>
      <c r="B835" s="3"/>
    </row>
    <row r="836">
      <c r="A836" s="160"/>
      <c r="B836" s="3"/>
    </row>
    <row r="837">
      <c r="A837" s="160"/>
      <c r="B837" s="3"/>
    </row>
    <row r="838">
      <c r="A838" s="160"/>
      <c r="B838" s="3"/>
    </row>
    <row r="839">
      <c r="A839" s="160"/>
      <c r="B839" s="3"/>
    </row>
    <row r="840">
      <c r="A840" s="160"/>
      <c r="B840" s="3"/>
    </row>
    <row r="841">
      <c r="A841" s="160"/>
      <c r="B841" s="3"/>
    </row>
    <row r="842">
      <c r="A842" s="160"/>
      <c r="B842" s="3"/>
    </row>
    <row r="843">
      <c r="A843" s="160"/>
      <c r="B843" s="3"/>
    </row>
    <row r="844">
      <c r="A844" s="160"/>
      <c r="B844" s="3"/>
    </row>
    <row r="845">
      <c r="A845" s="160"/>
      <c r="B845" s="3"/>
    </row>
    <row r="846">
      <c r="A846" s="160"/>
      <c r="B846" s="3"/>
    </row>
    <row r="847">
      <c r="A847" s="160"/>
      <c r="B847" s="3"/>
    </row>
    <row r="848">
      <c r="A848" s="160"/>
      <c r="B848" s="3"/>
    </row>
    <row r="849">
      <c r="A849" s="160"/>
      <c r="B849" s="3"/>
    </row>
    <row r="850">
      <c r="A850" s="160"/>
      <c r="B850" s="3"/>
    </row>
    <row r="851">
      <c r="A851" s="160"/>
      <c r="B851" s="3"/>
    </row>
    <row r="852">
      <c r="A852" s="160"/>
      <c r="B852" s="3"/>
    </row>
    <row r="853">
      <c r="A853" s="160"/>
      <c r="B853" s="3"/>
    </row>
    <row r="854">
      <c r="A854" s="160"/>
      <c r="B854" s="3"/>
    </row>
    <row r="855">
      <c r="A855" s="160"/>
      <c r="B855" s="3"/>
    </row>
    <row r="856">
      <c r="A856" s="160"/>
      <c r="B856" s="3"/>
    </row>
    <row r="857">
      <c r="A857" s="160"/>
      <c r="B857" s="3"/>
    </row>
    <row r="858">
      <c r="A858" s="160"/>
      <c r="B858" s="3"/>
    </row>
    <row r="859">
      <c r="A859" s="160"/>
      <c r="B859" s="3"/>
    </row>
    <row r="860">
      <c r="A860" s="160"/>
      <c r="B860" s="3"/>
    </row>
    <row r="861">
      <c r="A861" s="160"/>
      <c r="B861" s="3"/>
    </row>
    <row r="862">
      <c r="A862" s="160"/>
      <c r="B862" s="3"/>
    </row>
    <row r="863">
      <c r="A863" s="160"/>
      <c r="B863" s="3"/>
    </row>
    <row r="864">
      <c r="A864" s="160"/>
      <c r="B864" s="3"/>
    </row>
    <row r="865">
      <c r="A865" s="160"/>
      <c r="B865" s="3"/>
    </row>
    <row r="866">
      <c r="A866" s="160"/>
      <c r="B866" s="3"/>
    </row>
    <row r="867">
      <c r="A867" s="160"/>
      <c r="B867" s="3"/>
    </row>
    <row r="868">
      <c r="A868" s="160"/>
      <c r="B868" s="3"/>
    </row>
    <row r="869">
      <c r="A869" s="160"/>
      <c r="B869" s="3"/>
    </row>
    <row r="870">
      <c r="A870" s="160"/>
      <c r="B870" s="3"/>
    </row>
    <row r="871">
      <c r="A871" s="160"/>
      <c r="B871" s="3"/>
    </row>
    <row r="872">
      <c r="A872" s="160"/>
      <c r="B872" s="3"/>
    </row>
    <row r="873">
      <c r="A873" s="160"/>
      <c r="B873" s="3"/>
    </row>
    <row r="874">
      <c r="A874" s="160"/>
      <c r="B874" s="3"/>
    </row>
    <row r="875">
      <c r="A875" s="160"/>
      <c r="B875" s="3"/>
    </row>
    <row r="876">
      <c r="A876" s="160"/>
      <c r="B876" s="3"/>
    </row>
    <row r="877">
      <c r="A877" s="160"/>
      <c r="B877" s="3"/>
    </row>
    <row r="878">
      <c r="A878" s="160"/>
      <c r="B878" s="3"/>
    </row>
    <row r="879">
      <c r="A879" s="160"/>
      <c r="B879" s="3"/>
    </row>
    <row r="880">
      <c r="A880" s="160"/>
      <c r="B880" s="3"/>
    </row>
    <row r="881">
      <c r="A881" s="160"/>
      <c r="B881" s="3"/>
    </row>
    <row r="882">
      <c r="A882" s="160"/>
      <c r="B882" s="3"/>
    </row>
    <row r="883">
      <c r="A883" s="160"/>
      <c r="B883" s="3"/>
    </row>
    <row r="884">
      <c r="A884" s="160"/>
      <c r="B884" s="3"/>
    </row>
    <row r="885">
      <c r="A885" s="160"/>
      <c r="B885" s="3"/>
    </row>
    <row r="886">
      <c r="A886" s="160"/>
      <c r="B886" s="3"/>
    </row>
    <row r="887">
      <c r="A887" s="160"/>
      <c r="B887" s="3"/>
    </row>
    <row r="888">
      <c r="A888" s="160"/>
      <c r="B888" s="3"/>
    </row>
    <row r="889">
      <c r="A889" s="160"/>
      <c r="B889" s="3"/>
    </row>
    <row r="890">
      <c r="A890" s="160"/>
      <c r="B890" s="3"/>
    </row>
    <row r="891">
      <c r="A891" s="160"/>
      <c r="B891" s="3"/>
    </row>
    <row r="892">
      <c r="A892" s="160"/>
      <c r="B892" s="3"/>
    </row>
    <row r="893">
      <c r="A893" s="160"/>
      <c r="B893" s="3"/>
    </row>
    <row r="894">
      <c r="A894" s="160"/>
      <c r="B894" s="3"/>
    </row>
    <row r="895">
      <c r="A895" s="160"/>
      <c r="B895" s="3"/>
    </row>
    <row r="896">
      <c r="A896" s="160"/>
      <c r="B896" s="3"/>
    </row>
    <row r="897">
      <c r="A897" s="160"/>
      <c r="B897" s="3"/>
    </row>
    <row r="898">
      <c r="A898" s="160"/>
      <c r="B898" s="3"/>
    </row>
    <row r="899">
      <c r="A899" s="160"/>
      <c r="B899" s="3"/>
    </row>
    <row r="900">
      <c r="A900" s="160"/>
      <c r="B900" s="3"/>
    </row>
    <row r="901">
      <c r="A901" s="160"/>
      <c r="B901" s="3"/>
    </row>
    <row r="902">
      <c r="A902" s="160"/>
      <c r="B902" s="3"/>
    </row>
    <row r="903">
      <c r="A903" s="160"/>
      <c r="B903" s="3"/>
    </row>
    <row r="904">
      <c r="A904" s="160"/>
      <c r="B904" s="3"/>
    </row>
    <row r="905">
      <c r="A905" s="160"/>
      <c r="B905" s="3"/>
    </row>
    <row r="906">
      <c r="A906" s="160"/>
      <c r="B906" s="3"/>
    </row>
    <row r="907">
      <c r="A907" s="160"/>
      <c r="B907" s="3"/>
    </row>
    <row r="908">
      <c r="A908" s="160"/>
      <c r="B908" s="3"/>
    </row>
    <row r="909">
      <c r="A909" s="160"/>
      <c r="B909" s="3"/>
    </row>
    <row r="910">
      <c r="A910" s="160"/>
      <c r="B910" s="3"/>
    </row>
    <row r="911">
      <c r="A911" s="160"/>
      <c r="B911" s="3"/>
    </row>
    <row r="912">
      <c r="A912" s="160"/>
      <c r="B912" s="3"/>
    </row>
    <row r="913">
      <c r="A913" s="160"/>
      <c r="B913" s="3"/>
    </row>
    <row r="914">
      <c r="A914" s="160"/>
      <c r="B914" s="3"/>
    </row>
    <row r="915">
      <c r="A915" s="160"/>
      <c r="B915" s="3"/>
    </row>
    <row r="916">
      <c r="A916" s="160"/>
      <c r="B916" s="3"/>
    </row>
    <row r="917">
      <c r="A917" s="160"/>
      <c r="B917" s="3"/>
    </row>
    <row r="918">
      <c r="A918" s="160"/>
      <c r="B918" s="3"/>
    </row>
    <row r="919">
      <c r="A919" s="160"/>
      <c r="B919" s="3"/>
    </row>
    <row r="920">
      <c r="A920" s="160"/>
      <c r="B920" s="3"/>
    </row>
    <row r="921">
      <c r="A921" s="160"/>
      <c r="B921" s="3"/>
    </row>
    <row r="922">
      <c r="A922" s="160"/>
      <c r="B922" s="3"/>
    </row>
    <row r="923">
      <c r="A923" s="160"/>
      <c r="B923" s="3"/>
    </row>
    <row r="924">
      <c r="A924" s="160"/>
      <c r="B924" s="3"/>
    </row>
    <row r="925">
      <c r="A925" s="160"/>
      <c r="B925" s="3"/>
    </row>
    <row r="926">
      <c r="A926" s="160"/>
      <c r="B926" s="3"/>
    </row>
    <row r="927">
      <c r="A927" s="160"/>
      <c r="B927" s="3"/>
    </row>
    <row r="928">
      <c r="A928" s="160"/>
      <c r="B928" s="3"/>
    </row>
    <row r="929">
      <c r="A929" s="160"/>
      <c r="B929" s="3"/>
    </row>
    <row r="930">
      <c r="A930" s="160"/>
      <c r="B930" s="3"/>
    </row>
    <row r="931">
      <c r="A931" s="160"/>
      <c r="B931" s="3"/>
    </row>
    <row r="932">
      <c r="A932" s="160"/>
      <c r="B932" s="3"/>
    </row>
    <row r="933">
      <c r="A933" s="160"/>
      <c r="B933" s="3"/>
    </row>
    <row r="934">
      <c r="A934" s="160"/>
      <c r="B934" s="3"/>
    </row>
    <row r="935">
      <c r="A935" s="160"/>
      <c r="B935" s="3"/>
    </row>
    <row r="936">
      <c r="A936" s="160"/>
      <c r="B936" s="3"/>
    </row>
    <row r="937">
      <c r="A937" s="160"/>
      <c r="B937" s="3"/>
    </row>
    <row r="938">
      <c r="A938" s="160"/>
      <c r="B938" s="3"/>
    </row>
    <row r="939">
      <c r="A939" s="160"/>
      <c r="B939" s="3"/>
    </row>
    <row r="940">
      <c r="A940" s="160"/>
      <c r="B940" s="3"/>
    </row>
    <row r="941">
      <c r="A941" s="160"/>
      <c r="B941" s="3"/>
    </row>
    <row r="942">
      <c r="A942" s="160"/>
      <c r="B942" s="3"/>
    </row>
    <row r="943">
      <c r="A943" s="160"/>
      <c r="B943" s="3"/>
    </row>
    <row r="944">
      <c r="A944" s="160"/>
      <c r="B944" s="3"/>
    </row>
    <row r="945">
      <c r="A945" s="160"/>
      <c r="B945" s="3"/>
    </row>
    <row r="946">
      <c r="A946" s="160"/>
      <c r="B946" s="3"/>
    </row>
    <row r="947">
      <c r="A947" s="160"/>
      <c r="B947" s="3"/>
    </row>
    <row r="948">
      <c r="A948" s="160"/>
      <c r="B948" s="3"/>
    </row>
    <row r="949">
      <c r="A949" s="160"/>
      <c r="B949" s="3"/>
    </row>
    <row r="950">
      <c r="A950" s="160"/>
      <c r="B950" s="3"/>
    </row>
    <row r="951">
      <c r="A951" s="160"/>
      <c r="B951" s="3"/>
    </row>
    <row r="952">
      <c r="A952" s="160"/>
      <c r="B952" s="3"/>
    </row>
    <row r="953">
      <c r="A953" s="160"/>
      <c r="B953" s="3"/>
    </row>
    <row r="954">
      <c r="A954" s="160"/>
      <c r="B954" s="3"/>
    </row>
    <row r="955">
      <c r="A955" s="160"/>
      <c r="B955" s="3"/>
    </row>
    <row r="956">
      <c r="A956" s="160"/>
      <c r="B956" s="3"/>
    </row>
    <row r="957">
      <c r="A957" s="160"/>
      <c r="B957" s="3"/>
    </row>
    <row r="958">
      <c r="A958" s="160"/>
      <c r="B958" s="3"/>
    </row>
    <row r="959">
      <c r="A959" s="160"/>
      <c r="B959" s="3"/>
    </row>
    <row r="960">
      <c r="A960" s="160"/>
      <c r="B960" s="3"/>
    </row>
    <row r="961">
      <c r="A961" s="160"/>
      <c r="B961" s="3"/>
    </row>
    <row r="962">
      <c r="A962" s="160"/>
      <c r="B962" s="3"/>
    </row>
    <row r="963">
      <c r="A963" s="160"/>
      <c r="B963" s="3"/>
    </row>
    <row r="964">
      <c r="A964" s="160"/>
      <c r="B964" s="3"/>
    </row>
    <row r="965">
      <c r="A965" s="160"/>
      <c r="B965" s="3"/>
    </row>
    <row r="966">
      <c r="A966" s="160"/>
      <c r="B966" s="3"/>
    </row>
    <row r="967">
      <c r="A967" s="160"/>
      <c r="B967" s="3"/>
    </row>
    <row r="968">
      <c r="A968" s="160"/>
      <c r="B968" s="3"/>
    </row>
    <row r="969">
      <c r="A969" s="160"/>
      <c r="B969" s="3"/>
    </row>
    <row r="970">
      <c r="A970" s="160"/>
      <c r="B970" s="3"/>
    </row>
    <row r="971">
      <c r="A971" s="160"/>
      <c r="B971" s="3"/>
    </row>
    <row r="972">
      <c r="A972" s="160"/>
      <c r="B972" s="3"/>
    </row>
    <row r="973">
      <c r="A973" s="160"/>
      <c r="B973" s="3"/>
    </row>
    <row r="974">
      <c r="A974" s="160"/>
      <c r="B974" s="3"/>
    </row>
    <row r="975">
      <c r="A975" s="160"/>
      <c r="B975" s="3"/>
    </row>
    <row r="976">
      <c r="A976" s="160"/>
      <c r="B976" s="3"/>
    </row>
    <row r="977">
      <c r="A977" s="160"/>
      <c r="B977" s="3"/>
    </row>
    <row r="978">
      <c r="A978" s="160"/>
      <c r="B978" s="3"/>
    </row>
    <row r="979">
      <c r="A979" s="160"/>
      <c r="B979" s="3"/>
    </row>
    <row r="980">
      <c r="A980" s="160"/>
      <c r="B980" s="3"/>
    </row>
    <row r="981">
      <c r="A981" s="160"/>
      <c r="B981" s="3"/>
    </row>
    <row r="982">
      <c r="A982" s="160"/>
      <c r="B982" s="3"/>
    </row>
    <row r="983">
      <c r="A983" s="160"/>
      <c r="B983" s="3"/>
    </row>
    <row r="984">
      <c r="A984" s="160"/>
      <c r="B984" s="3"/>
    </row>
    <row r="985">
      <c r="A985" s="160"/>
      <c r="B985" s="3"/>
    </row>
    <row r="986">
      <c r="A986" s="160"/>
      <c r="B986" s="3"/>
    </row>
    <row r="987">
      <c r="A987" s="160"/>
      <c r="B987" s="3"/>
    </row>
    <row r="988">
      <c r="A988" s="160"/>
      <c r="B988" s="3"/>
    </row>
    <row r="989">
      <c r="A989" s="160"/>
      <c r="B989" s="3"/>
    </row>
    <row r="990">
      <c r="A990" s="160"/>
      <c r="B990" s="3"/>
    </row>
    <row r="991">
      <c r="A991" s="160"/>
      <c r="B991" s="3"/>
    </row>
    <row r="992">
      <c r="A992" s="160"/>
      <c r="B992" s="3"/>
    </row>
    <row r="993">
      <c r="A993" s="160"/>
      <c r="B993" s="3"/>
    </row>
    <row r="994">
      <c r="A994" s="160"/>
      <c r="B994" s="3"/>
    </row>
    <row r="995">
      <c r="A995" s="160"/>
      <c r="B995" s="3"/>
    </row>
    <row r="996">
      <c r="A996" s="160"/>
      <c r="B996" s="3"/>
    </row>
    <row r="997">
      <c r="A997" s="160"/>
      <c r="B997" s="3"/>
    </row>
    <row r="998">
      <c r="A998" s="160"/>
      <c r="B998" s="3"/>
    </row>
    <row r="999">
      <c r="A999" s="160"/>
      <c r="B999" s="3"/>
    </row>
    <row r="1000">
      <c r="A1000" s="160"/>
      <c r="B1000" s="3"/>
    </row>
    <row r="1001">
      <c r="A1001" s="160"/>
      <c r="B1001" s="3"/>
    </row>
  </sheetData>
  <drawing r:id="rId1"/>
</worksheet>
</file>